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Threshold Sweep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9" fontId="5" fillId="3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3" fillId="2" borderId="0" applyAlignment="1" pivotButton="0" quotePrefix="0" xfId="0">
      <alignment horizontal="center" wrapText="1"/>
    </xf>
    <xf numFmtId="2" fontId="4" fillId="0" borderId="0" pivotButton="0" quotePrefix="0" xfId="0"/>
    <xf numFmtId="165" fontId="4" fillId="0" borderId="0" pivotButton="0" quotePrefix="0" xfId="0"/>
    <xf numFmtId="164" fontId="4" fillId="0" borderId="0" pivotButton="0" quotePrefix="0" xfId="0"/>
    <xf numFmtId="2" fontId="6" fillId="0" borderId="0" pivotButton="0" quotePrefix="0" xfId="0"/>
    <xf numFmtId="3" fontId="6" fillId="0" borderId="0" pivotButton="0" quotePrefix="0" xfId="0"/>
    <xf numFmtId="165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52" customWidth="1" min="3" max="3"/>
  </cols>
  <sheetData>
    <row r="1">
      <c r="A1" s="1" t="inlineStr">
        <is>
          <t>CrediTrust Capital - Cost Assumptions &amp; Confusion Cost Matrix</t>
        </is>
      </c>
    </row>
    <row r="2">
      <c r="A2" s="2" t="inlineStr">
        <is>
          <t>Blue cells on yellow are inputs: edit them and every other sheet recalculates.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Source / note</t>
        </is>
      </c>
    </row>
    <row r="5">
      <c r="A5" s="4" t="inlineStr">
        <is>
          <t>Type I cost  (reject a GOOD applicant)</t>
        </is>
      </c>
      <c r="B5" s="5" t="n">
        <v>1</v>
      </c>
      <c r="C5" s="4" t="inlineStr">
        <is>
          <t>Unit cost; brief fixes ratio 1 : 5</t>
        </is>
      </c>
    </row>
    <row r="6">
      <c r="A6" s="4" t="inlineStr">
        <is>
          <t>Type II cost (approve a DEFAULTER)</t>
        </is>
      </c>
      <c r="B6" s="5" t="n">
        <v>5</v>
      </c>
      <c r="C6" s="4" t="inlineStr">
        <is>
          <t>5x Type I, as required by the project brief</t>
        </is>
      </c>
    </row>
    <row r="7">
      <c r="A7" s="4" t="inlineStr">
        <is>
          <t>Loss Given Default (LGD)</t>
        </is>
      </c>
      <c r="B7" s="6" t="n">
        <v>0.6</v>
      </c>
      <c r="C7" s="4" t="inlineStr">
        <is>
          <t>ASSUMPTION - justify in report (not from dataset)</t>
        </is>
      </c>
    </row>
    <row r="9">
      <c r="A9" s="7" t="inlineStr">
        <is>
          <t>Theoretical optimal threshold  = c_fp / (c_fp + c_fn)</t>
        </is>
      </c>
      <c r="B9" s="8">
        <f>B5/(B5+B6)</f>
        <v/>
      </c>
      <c r="C9" s="4" t="inlineStr">
        <is>
          <t>Reject when P(default) &gt;= this value</t>
        </is>
      </c>
    </row>
    <row r="11">
      <c r="A11" s="7" t="inlineStr">
        <is>
          <t>Confusion cost matrix</t>
        </is>
      </c>
    </row>
    <row r="12">
      <c r="A12" s="3" t="inlineStr"/>
      <c r="B12" s="3" t="inlineStr">
        <is>
          <t>Decision: APPROVE</t>
        </is>
      </c>
      <c r="C12" s="3" t="inlineStr">
        <is>
          <t>Decision: REJECT</t>
        </is>
      </c>
    </row>
    <row r="13">
      <c r="A13" s="4" t="inlineStr">
        <is>
          <t>Actual GOOD (0)</t>
        </is>
      </c>
      <c r="B13" s="4" t="n">
        <v>0</v>
      </c>
      <c r="C13" s="4">
        <f>B5</f>
        <v/>
      </c>
    </row>
    <row r="14">
      <c r="A14" s="4" t="inlineStr">
        <is>
          <t>Actual DEFAULT (1)</t>
        </is>
      </c>
      <c r="B14" s="4">
        <f>B6</f>
        <v/>
      </c>
      <c r="C14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9" t="inlineStr">
        <is>
          <t>Threshold</t>
        </is>
      </c>
      <c r="B1" s="9" t="inlineStr">
        <is>
          <t>TP</t>
        </is>
      </c>
      <c r="C1" s="9" t="inlineStr">
        <is>
          <t>FP (Type I)</t>
        </is>
      </c>
      <c r="D1" s="9" t="inlineStr">
        <is>
          <t>FN (Type II)</t>
        </is>
      </c>
      <c r="E1" s="9" t="inlineStr">
        <is>
          <t>TN</t>
        </is>
      </c>
      <c r="F1" s="9" t="inlineStr">
        <is>
          <t>Precision (default)</t>
        </is>
      </c>
      <c r="G1" s="9" t="inlineStr">
        <is>
          <t>Recall (default)</t>
        </is>
      </c>
      <c r="H1" s="9" t="inlineStr">
        <is>
          <t>Approval rate</t>
        </is>
      </c>
      <c r="I1" s="9" t="inlineStr">
        <is>
          <t>Total cost</t>
        </is>
      </c>
      <c r="J1" s="9" t="inlineStr">
        <is>
          <t>Cost / applicant</t>
        </is>
      </c>
      <c r="K1" s="9" t="inlineStr">
        <is>
          <t>Cost-weighted F1</t>
        </is>
      </c>
    </row>
    <row r="2">
      <c r="A2" s="10" t="n">
        <v>0.05</v>
      </c>
      <c r="B2" s="4" t="n">
        <v>230</v>
      </c>
      <c r="C2" s="4" t="n">
        <v>429</v>
      </c>
      <c r="D2" s="4" t="n">
        <v>10</v>
      </c>
      <c r="E2" s="4" t="n">
        <v>131</v>
      </c>
      <c r="F2" s="11">
        <f>IFERROR(B2/(B2+C2),0)</f>
        <v/>
      </c>
      <c r="G2" s="11">
        <f>IFERROR(B2/(B2+D2),0)</f>
        <v/>
      </c>
      <c r="H2" s="11">
        <f>(E2+D2)/(B2+C2+D2+E2)</f>
        <v/>
      </c>
      <c r="I2" s="4">
        <f>C2*Assumptions!$B$5+D2*Assumptions!$B$6</f>
        <v/>
      </c>
      <c r="J2" s="12">
        <f>I2/(B2+C2+D2+E2)</f>
        <v/>
      </c>
      <c r="K2" s="12">
        <f>IFERROR(2*B2/(2*B2+C2*Assumptions!$B$5+D2*Assumptions!$B$6),0)</f>
        <v/>
      </c>
    </row>
    <row r="3">
      <c r="A3" s="10" t="n">
        <v>0.06</v>
      </c>
      <c r="B3" s="4" t="n">
        <v>228</v>
      </c>
      <c r="C3" s="4" t="n">
        <v>401</v>
      </c>
      <c r="D3" s="4" t="n">
        <v>12</v>
      </c>
      <c r="E3" s="4" t="n">
        <v>159</v>
      </c>
      <c r="F3" s="11">
        <f>IFERROR(B3/(B3+C3),0)</f>
        <v/>
      </c>
      <c r="G3" s="11">
        <f>IFERROR(B3/(B3+D3),0)</f>
        <v/>
      </c>
      <c r="H3" s="11">
        <f>(E3+D3)/(B3+C3+D3+E3)</f>
        <v/>
      </c>
      <c r="I3" s="4">
        <f>C3*Assumptions!$B$5+D3*Assumptions!$B$6</f>
        <v/>
      </c>
      <c r="J3" s="12">
        <f>I3/(B3+C3+D3+E3)</f>
        <v/>
      </c>
      <c r="K3" s="12">
        <f>IFERROR(2*B3/(2*B3+C3*Assumptions!$B$5+D3*Assumptions!$B$6),0)</f>
        <v/>
      </c>
    </row>
    <row r="4">
      <c r="A4" s="10" t="n">
        <v>0.07000000000000001</v>
      </c>
      <c r="B4" s="4" t="n">
        <v>226</v>
      </c>
      <c r="C4" s="4" t="n">
        <v>369</v>
      </c>
      <c r="D4" s="4" t="n">
        <v>14</v>
      </c>
      <c r="E4" s="4" t="n">
        <v>191</v>
      </c>
      <c r="F4" s="11">
        <f>IFERROR(B4/(B4+C4),0)</f>
        <v/>
      </c>
      <c r="G4" s="11">
        <f>IFERROR(B4/(B4+D4),0)</f>
        <v/>
      </c>
      <c r="H4" s="11">
        <f>(E4+D4)/(B4+C4+D4+E4)</f>
        <v/>
      </c>
      <c r="I4" s="4">
        <f>C4*Assumptions!$B$5+D4*Assumptions!$B$6</f>
        <v/>
      </c>
      <c r="J4" s="12">
        <f>I4/(B4+C4+D4+E4)</f>
        <v/>
      </c>
      <c r="K4" s="12">
        <f>IFERROR(2*B4/(2*B4+C4*Assumptions!$B$5+D4*Assumptions!$B$6),0)</f>
        <v/>
      </c>
    </row>
    <row r="5">
      <c r="A5" s="10" t="n">
        <v>0.08</v>
      </c>
      <c r="B5" s="4" t="n">
        <v>221</v>
      </c>
      <c r="C5" s="4" t="n">
        <v>349</v>
      </c>
      <c r="D5" s="4" t="n">
        <v>19</v>
      </c>
      <c r="E5" s="4" t="n">
        <v>211</v>
      </c>
      <c r="F5" s="11">
        <f>IFERROR(B5/(B5+C5),0)</f>
        <v/>
      </c>
      <c r="G5" s="11">
        <f>IFERROR(B5/(B5+D5),0)</f>
        <v/>
      </c>
      <c r="H5" s="11">
        <f>(E5+D5)/(B5+C5+D5+E5)</f>
        <v/>
      </c>
      <c r="I5" s="4">
        <f>C5*Assumptions!$B$5+D5*Assumptions!$B$6</f>
        <v/>
      </c>
      <c r="J5" s="12">
        <f>I5/(B5+C5+D5+E5)</f>
        <v/>
      </c>
      <c r="K5" s="12">
        <f>IFERROR(2*B5/(2*B5+C5*Assumptions!$B$5+D5*Assumptions!$B$6),0)</f>
        <v/>
      </c>
    </row>
    <row r="6">
      <c r="A6" s="10" t="n">
        <v>0.09</v>
      </c>
      <c r="B6" s="4" t="n">
        <v>220</v>
      </c>
      <c r="C6" s="4" t="n">
        <v>338</v>
      </c>
      <c r="D6" s="4" t="n">
        <v>20</v>
      </c>
      <c r="E6" s="4" t="n">
        <v>222</v>
      </c>
      <c r="F6" s="11">
        <f>IFERROR(B6/(B6+C6),0)</f>
        <v/>
      </c>
      <c r="G6" s="11">
        <f>IFERROR(B6/(B6+D6),0)</f>
        <v/>
      </c>
      <c r="H6" s="11">
        <f>(E6+D6)/(B6+C6+D6+E6)</f>
        <v/>
      </c>
      <c r="I6" s="4">
        <f>C6*Assumptions!$B$5+D6*Assumptions!$B$6</f>
        <v/>
      </c>
      <c r="J6" s="12">
        <f>I6/(B6+C6+D6+E6)</f>
        <v/>
      </c>
      <c r="K6" s="12">
        <f>IFERROR(2*B6/(2*B6+C6*Assumptions!$B$5+D6*Assumptions!$B$6),0)</f>
        <v/>
      </c>
    </row>
    <row r="7">
      <c r="A7" s="10" t="n">
        <v>0.1</v>
      </c>
      <c r="B7" s="4" t="n">
        <v>218</v>
      </c>
      <c r="C7" s="4" t="n">
        <v>326</v>
      </c>
      <c r="D7" s="4" t="n">
        <v>22</v>
      </c>
      <c r="E7" s="4" t="n">
        <v>234</v>
      </c>
      <c r="F7" s="11">
        <f>IFERROR(B7/(B7+C7),0)</f>
        <v/>
      </c>
      <c r="G7" s="11">
        <f>IFERROR(B7/(B7+D7),0)</f>
        <v/>
      </c>
      <c r="H7" s="11">
        <f>(E7+D7)/(B7+C7+D7+E7)</f>
        <v/>
      </c>
      <c r="I7" s="4">
        <f>C7*Assumptions!$B$5+D7*Assumptions!$B$6</f>
        <v/>
      </c>
      <c r="J7" s="12">
        <f>I7/(B7+C7+D7+E7)</f>
        <v/>
      </c>
      <c r="K7" s="12">
        <f>IFERROR(2*B7/(2*B7+C7*Assumptions!$B$5+D7*Assumptions!$B$6),0)</f>
        <v/>
      </c>
    </row>
    <row r="8">
      <c r="A8" s="10" t="n">
        <v>0.11</v>
      </c>
      <c r="B8" s="4" t="n">
        <v>213</v>
      </c>
      <c r="C8" s="4" t="n">
        <v>306</v>
      </c>
      <c r="D8" s="4" t="n">
        <v>27</v>
      </c>
      <c r="E8" s="4" t="n">
        <v>254</v>
      </c>
      <c r="F8" s="11">
        <f>IFERROR(B8/(B8+C8),0)</f>
        <v/>
      </c>
      <c r="G8" s="11">
        <f>IFERROR(B8/(B8+D8),0)</f>
        <v/>
      </c>
      <c r="H8" s="11">
        <f>(E8+D8)/(B8+C8+D8+E8)</f>
        <v/>
      </c>
      <c r="I8" s="4">
        <f>C8*Assumptions!$B$5+D8*Assumptions!$B$6</f>
        <v/>
      </c>
      <c r="J8" s="12">
        <f>I8/(B8+C8+D8+E8)</f>
        <v/>
      </c>
      <c r="K8" s="12">
        <f>IFERROR(2*B8/(2*B8+C8*Assumptions!$B$5+D8*Assumptions!$B$6),0)</f>
        <v/>
      </c>
    </row>
    <row r="9">
      <c r="A9" s="10" t="n">
        <v>0.12</v>
      </c>
      <c r="B9" s="4" t="n">
        <v>211</v>
      </c>
      <c r="C9" s="4" t="n">
        <v>293</v>
      </c>
      <c r="D9" s="4" t="n">
        <v>29</v>
      </c>
      <c r="E9" s="4" t="n">
        <v>267</v>
      </c>
      <c r="F9" s="11">
        <f>IFERROR(B9/(B9+C9),0)</f>
        <v/>
      </c>
      <c r="G9" s="11">
        <f>IFERROR(B9/(B9+D9),0)</f>
        <v/>
      </c>
      <c r="H9" s="11">
        <f>(E9+D9)/(B9+C9+D9+E9)</f>
        <v/>
      </c>
      <c r="I9" s="4">
        <f>C9*Assumptions!$B$5+D9*Assumptions!$B$6</f>
        <v/>
      </c>
      <c r="J9" s="12">
        <f>I9/(B9+C9+D9+E9)</f>
        <v/>
      </c>
      <c r="K9" s="12">
        <f>IFERROR(2*B9/(2*B9+C9*Assumptions!$B$5+D9*Assumptions!$B$6),0)</f>
        <v/>
      </c>
    </row>
    <row r="10">
      <c r="A10" s="10" t="n">
        <v>0.13</v>
      </c>
      <c r="B10" s="4" t="n">
        <v>210</v>
      </c>
      <c r="C10" s="4" t="n">
        <v>283</v>
      </c>
      <c r="D10" s="4" t="n">
        <v>30</v>
      </c>
      <c r="E10" s="4" t="n">
        <v>277</v>
      </c>
      <c r="F10" s="11">
        <f>IFERROR(B10/(B10+C10),0)</f>
        <v/>
      </c>
      <c r="G10" s="11">
        <f>IFERROR(B10/(B10+D10),0)</f>
        <v/>
      </c>
      <c r="H10" s="11">
        <f>(E10+D10)/(B10+C10+D10+E10)</f>
        <v/>
      </c>
      <c r="I10" s="4">
        <f>C10*Assumptions!$B$5+D10*Assumptions!$B$6</f>
        <v/>
      </c>
      <c r="J10" s="12">
        <f>I10/(B10+C10+D10+E10)</f>
        <v/>
      </c>
      <c r="K10" s="12">
        <f>IFERROR(2*B10/(2*B10+C10*Assumptions!$B$5+D10*Assumptions!$B$6),0)</f>
        <v/>
      </c>
    </row>
    <row r="11">
      <c r="A11" s="10" t="n">
        <v>0.14</v>
      </c>
      <c r="B11" s="4" t="n">
        <v>207</v>
      </c>
      <c r="C11" s="4" t="n">
        <v>278</v>
      </c>
      <c r="D11" s="4" t="n">
        <v>33</v>
      </c>
      <c r="E11" s="4" t="n">
        <v>282</v>
      </c>
      <c r="F11" s="11">
        <f>IFERROR(B11/(B11+C11),0)</f>
        <v/>
      </c>
      <c r="G11" s="11">
        <f>IFERROR(B11/(B11+D11),0)</f>
        <v/>
      </c>
      <c r="H11" s="11">
        <f>(E11+D11)/(B11+C11+D11+E11)</f>
        <v/>
      </c>
      <c r="I11" s="4">
        <f>C11*Assumptions!$B$5+D11*Assumptions!$B$6</f>
        <v/>
      </c>
      <c r="J11" s="12">
        <f>I11/(B11+C11+D11+E11)</f>
        <v/>
      </c>
      <c r="K11" s="12">
        <f>IFERROR(2*B11/(2*B11+C11*Assumptions!$B$5+D11*Assumptions!$B$6),0)</f>
        <v/>
      </c>
    </row>
    <row r="12">
      <c r="A12" s="10" t="n">
        <v>0.15</v>
      </c>
      <c r="B12" s="4" t="n">
        <v>205</v>
      </c>
      <c r="C12" s="4" t="n">
        <v>267</v>
      </c>
      <c r="D12" s="4" t="n">
        <v>35</v>
      </c>
      <c r="E12" s="4" t="n">
        <v>293</v>
      </c>
      <c r="F12" s="11">
        <f>IFERROR(B12/(B12+C12),0)</f>
        <v/>
      </c>
      <c r="G12" s="11">
        <f>IFERROR(B12/(B12+D12),0)</f>
        <v/>
      </c>
      <c r="H12" s="11">
        <f>(E12+D12)/(B12+C12+D12+E12)</f>
        <v/>
      </c>
      <c r="I12" s="4">
        <f>C12*Assumptions!$B$5+D12*Assumptions!$B$6</f>
        <v/>
      </c>
      <c r="J12" s="12">
        <f>I12/(B12+C12+D12+E12)</f>
        <v/>
      </c>
      <c r="K12" s="12">
        <f>IFERROR(2*B12/(2*B12+C12*Assumptions!$B$5+D12*Assumptions!$B$6),0)</f>
        <v/>
      </c>
    </row>
    <row r="13">
      <c r="A13" s="10" t="n">
        <v>0.16</v>
      </c>
      <c r="B13" s="4" t="n">
        <v>202</v>
      </c>
      <c r="C13" s="4" t="n">
        <v>259</v>
      </c>
      <c r="D13" s="4" t="n">
        <v>38</v>
      </c>
      <c r="E13" s="4" t="n">
        <v>301</v>
      </c>
      <c r="F13" s="11">
        <f>IFERROR(B13/(B13+C13),0)</f>
        <v/>
      </c>
      <c r="G13" s="11">
        <f>IFERROR(B13/(B13+D13),0)</f>
        <v/>
      </c>
      <c r="H13" s="11">
        <f>(E13+D13)/(B13+C13+D13+E13)</f>
        <v/>
      </c>
      <c r="I13" s="4">
        <f>C13*Assumptions!$B$5+D13*Assumptions!$B$6</f>
        <v/>
      </c>
      <c r="J13" s="12">
        <f>I13/(B13+C13+D13+E13)</f>
        <v/>
      </c>
      <c r="K13" s="12">
        <f>IFERROR(2*B13/(2*B13+C13*Assumptions!$B$5+D13*Assumptions!$B$6),0)</f>
        <v/>
      </c>
    </row>
    <row r="14">
      <c r="A14" s="10" t="n">
        <v>0.17</v>
      </c>
      <c r="B14" s="4" t="n">
        <v>199</v>
      </c>
      <c r="C14" s="4" t="n">
        <v>244</v>
      </c>
      <c r="D14" s="4" t="n">
        <v>41</v>
      </c>
      <c r="E14" s="4" t="n">
        <v>316</v>
      </c>
      <c r="F14" s="11">
        <f>IFERROR(B14/(B14+C14),0)</f>
        <v/>
      </c>
      <c r="G14" s="11">
        <f>IFERROR(B14/(B14+D14),0)</f>
        <v/>
      </c>
      <c r="H14" s="11">
        <f>(E14+D14)/(B14+C14+D14+E14)</f>
        <v/>
      </c>
      <c r="I14" s="4">
        <f>C14*Assumptions!$B$5+D14*Assumptions!$B$6</f>
        <v/>
      </c>
      <c r="J14" s="12">
        <f>I14/(B14+C14+D14+E14)</f>
        <v/>
      </c>
      <c r="K14" s="12">
        <f>IFERROR(2*B14/(2*B14+C14*Assumptions!$B$5+D14*Assumptions!$B$6),0)</f>
        <v/>
      </c>
    </row>
    <row r="15">
      <c r="A15" s="10" t="n">
        <v>0.18</v>
      </c>
      <c r="B15" s="4" t="n">
        <v>197</v>
      </c>
      <c r="C15" s="4" t="n">
        <v>234</v>
      </c>
      <c r="D15" s="4" t="n">
        <v>43</v>
      </c>
      <c r="E15" s="4" t="n">
        <v>326</v>
      </c>
      <c r="F15" s="11">
        <f>IFERROR(B15/(B15+C15),0)</f>
        <v/>
      </c>
      <c r="G15" s="11">
        <f>IFERROR(B15/(B15+D15),0)</f>
        <v/>
      </c>
      <c r="H15" s="11">
        <f>(E15+D15)/(B15+C15+D15+E15)</f>
        <v/>
      </c>
      <c r="I15" s="4">
        <f>C15*Assumptions!$B$5+D15*Assumptions!$B$6</f>
        <v/>
      </c>
      <c r="J15" s="12">
        <f>I15/(B15+C15+D15+E15)</f>
        <v/>
      </c>
      <c r="K15" s="12">
        <f>IFERROR(2*B15/(2*B15+C15*Assumptions!$B$5+D15*Assumptions!$B$6),0)</f>
        <v/>
      </c>
    </row>
    <row r="16">
      <c r="A16" s="10" t="n">
        <v>0.19</v>
      </c>
      <c r="B16" s="4" t="n">
        <v>190</v>
      </c>
      <c r="C16" s="4" t="n">
        <v>225</v>
      </c>
      <c r="D16" s="4" t="n">
        <v>50</v>
      </c>
      <c r="E16" s="4" t="n">
        <v>335</v>
      </c>
      <c r="F16" s="11">
        <f>IFERROR(B16/(B16+C16),0)</f>
        <v/>
      </c>
      <c r="G16" s="11">
        <f>IFERROR(B16/(B16+D16),0)</f>
        <v/>
      </c>
      <c r="H16" s="11">
        <f>(E16+D16)/(B16+C16+D16+E16)</f>
        <v/>
      </c>
      <c r="I16" s="4">
        <f>C16*Assumptions!$B$5+D16*Assumptions!$B$6</f>
        <v/>
      </c>
      <c r="J16" s="12">
        <f>I16/(B16+C16+D16+E16)</f>
        <v/>
      </c>
      <c r="K16" s="12">
        <f>IFERROR(2*B16/(2*B16+C16*Assumptions!$B$5+D16*Assumptions!$B$6),0)</f>
        <v/>
      </c>
    </row>
    <row r="17">
      <c r="A17" s="10" t="n">
        <v>0.2</v>
      </c>
      <c r="B17" s="4" t="n">
        <v>187</v>
      </c>
      <c r="C17" s="4" t="n">
        <v>218</v>
      </c>
      <c r="D17" s="4" t="n">
        <v>53</v>
      </c>
      <c r="E17" s="4" t="n">
        <v>342</v>
      </c>
      <c r="F17" s="11">
        <f>IFERROR(B17/(B17+C17),0)</f>
        <v/>
      </c>
      <c r="G17" s="11">
        <f>IFERROR(B17/(B17+D17),0)</f>
        <v/>
      </c>
      <c r="H17" s="11">
        <f>(E17+D17)/(B17+C17+D17+E17)</f>
        <v/>
      </c>
      <c r="I17" s="4">
        <f>C17*Assumptions!$B$5+D17*Assumptions!$B$6</f>
        <v/>
      </c>
      <c r="J17" s="12">
        <f>I17/(B17+C17+D17+E17)</f>
        <v/>
      </c>
      <c r="K17" s="12">
        <f>IFERROR(2*B17/(2*B17+C17*Assumptions!$B$5+D17*Assumptions!$B$6),0)</f>
        <v/>
      </c>
    </row>
    <row r="18">
      <c r="A18" s="10" t="n">
        <v>0.21</v>
      </c>
      <c r="B18" s="4" t="n">
        <v>182</v>
      </c>
      <c r="C18" s="4" t="n">
        <v>206</v>
      </c>
      <c r="D18" s="4" t="n">
        <v>58</v>
      </c>
      <c r="E18" s="4" t="n">
        <v>354</v>
      </c>
      <c r="F18" s="11">
        <f>IFERROR(B18/(B18+C18),0)</f>
        <v/>
      </c>
      <c r="G18" s="11">
        <f>IFERROR(B18/(B18+D18),0)</f>
        <v/>
      </c>
      <c r="H18" s="11">
        <f>(E18+D18)/(B18+C18+D18+E18)</f>
        <v/>
      </c>
      <c r="I18" s="4">
        <f>C18*Assumptions!$B$5+D18*Assumptions!$B$6</f>
        <v/>
      </c>
      <c r="J18" s="12">
        <f>I18/(B18+C18+D18+E18)</f>
        <v/>
      </c>
      <c r="K18" s="12">
        <f>IFERROR(2*B18/(2*B18+C18*Assumptions!$B$5+D18*Assumptions!$B$6),0)</f>
        <v/>
      </c>
    </row>
    <row r="19">
      <c r="A19" s="10" t="n">
        <v>0.22</v>
      </c>
      <c r="B19" s="4" t="n">
        <v>179</v>
      </c>
      <c r="C19" s="4" t="n">
        <v>200</v>
      </c>
      <c r="D19" s="4" t="n">
        <v>61</v>
      </c>
      <c r="E19" s="4" t="n">
        <v>360</v>
      </c>
      <c r="F19" s="11">
        <f>IFERROR(B19/(B19+C19),0)</f>
        <v/>
      </c>
      <c r="G19" s="11">
        <f>IFERROR(B19/(B19+D19),0)</f>
        <v/>
      </c>
      <c r="H19" s="11">
        <f>(E19+D19)/(B19+C19+D19+E19)</f>
        <v/>
      </c>
      <c r="I19" s="4">
        <f>C19*Assumptions!$B$5+D19*Assumptions!$B$6</f>
        <v/>
      </c>
      <c r="J19" s="12">
        <f>I19/(B19+C19+D19+E19)</f>
        <v/>
      </c>
      <c r="K19" s="12">
        <f>IFERROR(2*B19/(2*B19+C19*Assumptions!$B$5+D19*Assumptions!$B$6),0)</f>
        <v/>
      </c>
    </row>
    <row r="20">
      <c r="A20" s="10" t="n">
        <v>0.23</v>
      </c>
      <c r="B20" s="4" t="n">
        <v>177</v>
      </c>
      <c r="C20" s="4" t="n">
        <v>187</v>
      </c>
      <c r="D20" s="4" t="n">
        <v>63</v>
      </c>
      <c r="E20" s="4" t="n">
        <v>373</v>
      </c>
      <c r="F20" s="11">
        <f>IFERROR(B20/(B20+C20),0)</f>
        <v/>
      </c>
      <c r="G20" s="11">
        <f>IFERROR(B20/(B20+D20),0)</f>
        <v/>
      </c>
      <c r="H20" s="11">
        <f>(E20+D20)/(B20+C20+D20+E20)</f>
        <v/>
      </c>
      <c r="I20" s="4">
        <f>C20*Assumptions!$B$5+D20*Assumptions!$B$6</f>
        <v/>
      </c>
      <c r="J20" s="12">
        <f>I20/(B20+C20+D20+E20)</f>
        <v/>
      </c>
      <c r="K20" s="12">
        <f>IFERROR(2*B20/(2*B20+C20*Assumptions!$B$5+D20*Assumptions!$B$6),0)</f>
        <v/>
      </c>
    </row>
    <row r="21">
      <c r="A21" s="10" t="n">
        <v>0.24</v>
      </c>
      <c r="B21" s="4" t="n">
        <v>174</v>
      </c>
      <c r="C21" s="4" t="n">
        <v>183</v>
      </c>
      <c r="D21" s="4" t="n">
        <v>66</v>
      </c>
      <c r="E21" s="4" t="n">
        <v>377</v>
      </c>
      <c r="F21" s="11">
        <f>IFERROR(B21/(B21+C21),0)</f>
        <v/>
      </c>
      <c r="G21" s="11">
        <f>IFERROR(B21/(B21+D21),0)</f>
        <v/>
      </c>
      <c r="H21" s="11">
        <f>(E21+D21)/(B21+C21+D21+E21)</f>
        <v/>
      </c>
      <c r="I21" s="4">
        <f>C21*Assumptions!$B$5+D21*Assumptions!$B$6</f>
        <v/>
      </c>
      <c r="J21" s="12">
        <f>I21/(B21+C21+D21+E21)</f>
        <v/>
      </c>
      <c r="K21" s="12">
        <f>IFERROR(2*B21/(2*B21+C21*Assumptions!$B$5+D21*Assumptions!$B$6),0)</f>
        <v/>
      </c>
    </row>
    <row r="22">
      <c r="A22" s="10" t="n">
        <v>0.25</v>
      </c>
      <c r="B22" s="4" t="n">
        <v>171</v>
      </c>
      <c r="C22" s="4" t="n">
        <v>176</v>
      </c>
      <c r="D22" s="4" t="n">
        <v>69</v>
      </c>
      <c r="E22" s="4" t="n">
        <v>384</v>
      </c>
      <c r="F22" s="11">
        <f>IFERROR(B22/(B22+C22),0)</f>
        <v/>
      </c>
      <c r="G22" s="11">
        <f>IFERROR(B22/(B22+D22),0)</f>
        <v/>
      </c>
      <c r="H22" s="11">
        <f>(E22+D22)/(B22+C22+D22+E22)</f>
        <v/>
      </c>
      <c r="I22" s="4">
        <f>C22*Assumptions!$B$5+D22*Assumptions!$B$6</f>
        <v/>
      </c>
      <c r="J22" s="12">
        <f>I22/(B22+C22+D22+E22)</f>
        <v/>
      </c>
      <c r="K22" s="12">
        <f>IFERROR(2*B22/(2*B22+C22*Assumptions!$B$5+D22*Assumptions!$B$6),0)</f>
        <v/>
      </c>
    </row>
    <row r="23">
      <c r="A23" s="10" t="n">
        <v>0.26</v>
      </c>
      <c r="B23" s="4" t="n">
        <v>169</v>
      </c>
      <c r="C23" s="4" t="n">
        <v>167</v>
      </c>
      <c r="D23" s="4" t="n">
        <v>71</v>
      </c>
      <c r="E23" s="4" t="n">
        <v>393</v>
      </c>
      <c r="F23" s="11">
        <f>IFERROR(B23/(B23+C23),0)</f>
        <v/>
      </c>
      <c r="G23" s="11">
        <f>IFERROR(B23/(B23+D23),0)</f>
        <v/>
      </c>
      <c r="H23" s="11">
        <f>(E23+D23)/(B23+C23+D23+E23)</f>
        <v/>
      </c>
      <c r="I23" s="4">
        <f>C23*Assumptions!$B$5+D23*Assumptions!$B$6</f>
        <v/>
      </c>
      <c r="J23" s="12">
        <f>I23/(B23+C23+D23+E23)</f>
        <v/>
      </c>
      <c r="K23" s="12">
        <f>IFERROR(2*B23/(2*B23+C23*Assumptions!$B$5+D23*Assumptions!$B$6),0)</f>
        <v/>
      </c>
    </row>
    <row r="24">
      <c r="A24" s="10" t="n">
        <v>0.27</v>
      </c>
      <c r="B24" s="4" t="n">
        <v>167</v>
      </c>
      <c r="C24" s="4" t="n">
        <v>160</v>
      </c>
      <c r="D24" s="4" t="n">
        <v>73</v>
      </c>
      <c r="E24" s="4" t="n">
        <v>400</v>
      </c>
      <c r="F24" s="11">
        <f>IFERROR(B24/(B24+C24),0)</f>
        <v/>
      </c>
      <c r="G24" s="11">
        <f>IFERROR(B24/(B24+D24),0)</f>
        <v/>
      </c>
      <c r="H24" s="11">
        <f>(E24+D24)/(B24+C24+D24+E24)</f>
        <v/>
      </c>
      <c r="I24" s="4">
        <f>C24*Assumptions!$B$5+D24*Assumptions!$B$6</f>
        <v/>
      </c>
      <c r="J24" s="12">
        <f>I24/(B24+C24+D24+E24)</f>
        <v/>
      </c>
      <c r="K24" s="12">
        <f>IFERROR(2*B24/(2*B24+C24*Assumptions!$B$5+D24*Assumptions!$B$6),0)</f>
        <v/>
      </c>
    </row>
    <row r="25">
      <c r="A25" s="10" t="n">
        <v>0.28</v>
      </c>
      <c r="B25" s="4" t="n">
        <v>164</v>
      </c>
      <c r="C25" s="4" t="n">
        <v>158</v>
      </c>
      <c r="D25" s="4" t="n">
        <v>76</v>
      </c>
      <c r="E25" s="4" t="n">
        <v>402</v>
      </c>
      <c r="F25" s="11">
        <f>IFERROR(B25/(B25+C25),0)</f>
        <v/>
      </c>
      <c r="G25" s="11">
        <f>IFERROR(B25/(B25+D25),0)</f>
        <v/>
      </c>
      <c r="H25" s="11">
        <f>(E25+D25)/(B25+C25+D25+E25)</f>
        <v/>
      </c>
      <c r="I25" s="4">
        <f>C25*Assumptions!$B$5+D25*Assumptions!$B$6</f>
        <v/>
      </c>
      <c r="J25" s="12">
        <f>I25/(B25+C25+D25+E25)</f>
        <v/>
      </c>
      <c r="K25" s="12">
        <f>IFERROR(2*B25/(2*B25+C25*Assumptions!$B$5+D25*Assumptions!$B$6),0)</f>
        <v/>
      </c>
    </row>
    <row r="26">
      <c r="A26" s="10" t="n">
        <v>0.29</v>
      </c>
      <c r="B26" s="4" t="n">
        <v>163</v>
      </c>
      <c r="C26" s="4" t="n">
        <v>152</v>
      </c>
      <c r="D26" s="4" t="n">
        <v>77</v>
      </c>
      <c r="E26" s="4" t="n">
        <v>408</v>
      </c>
      <c r="F26" s="11">
        <f>IFERROR(B26/(B26+C26),0)</f>
        <v/>
      </c>
      <c r="G26" s="11">
        <f>IFERROR(B26/(B26+D26),0)</f>
        <v/>
      </c>
      <c r="H26" s="11">
        <f>(E26+D26)/(B26+C26+D26+E26)</f>
        <v/>
      </c>
      <c r="I26" s="4">
        <f>C26*Assumptions!$B$5+D26*Assumptions!$B$6</f>
        <v/>
      </c>
      <c r="J26" s="12">
        <f>I26/(B26+C26+D26+E26)</f>
        <v/>
      </c>
      <c r="K26" s="12">
        <f>IFERROR(2*B26/(2*B26+C26*Assumptions!$B$5+D26*Assumptions!$B$6),0)</f>
        <v/>
      </c>
    </row>
    <row r="27">
      <c r="A27" s="10" t="n">
        <v>0.3</v>
      </c>
      <c r="B27" s="4" t="n">
        <v>160</v>
      </c>
      <c r="C27" s="4" t="n">
        <v>143</v>
      </c>
      <c r="D27" s="4" t="n">
        <v>80</v>
      </c>
      <c r="E27" s="4" t="n">
        <v>417</v>
      </c>
      <c r="F27" s="11">
        <f>IFERROR(B27/(B27+C27),0)</f>
        <v/>
      </c>
      <c r="G27" s="11">
        <f>IFERROR(B27/(B27+D27),0)</f>
        <v/>
      </c>
      <c r="H27" s="11">
        <f>(E27+D27)/(B27+C27+D27+E27)</f>
        <v/>
      </c>
      <c r="I27" s="4">
        <f>C27*Assumptions!$B$5+D27*Assumptions!$B$6</f>
        <v/>
      </c>
      <c r="J27" s="12">
        <f>I27/(B27+C27+D27+E27)</f>
        <v/>
      </c>
      <c r="K27" s="12">
        <f>IFERROR(2*B27/(2*B27+C27*Assumptions!$B$5+D27*Assumptions!$B$6),0)</f>
        <v/>
      </c>
    </row>
    <row r="28">
      <c r="A28" s="10" t="n">
        <v>0.31</v>
      </c>
      <c r="B28" s="4" t="n">
        <v>154</v>
      </c>
      <c r="C28" s="4" t="n">
        <v>138</v>
      </c>
      <c r="D28" s="4" t="n">
        <v>86</v>
      </c>
      <c r="E28" s="4" t="n">
        <v>422</v>
      </c>
      <c r="F28" s="11">
        <f>IFERROR(B28/(B28+C28),0)</f>
        <v/>
      </c>
      <c r="G28" s="11">
        <f>IFERROR(B28/(B28+D28),0)</f>
        <v/>
      </c>
      <c r="H28" s="11">
        <f>(E28+D28)/(B28+C28+D28+E28)</f>
        <v/>
      </c>
      <c r="I28" s="4">
        <f>C28*Assumptions!$B$5+D28*Assumptions!$B$6</f>
        <v/>
      </c>
      <c r="J28" s="12">
        <f>I28/(B28+C28+D28+E28)</f>
        <v/>
      </c>
      <c r="K28" s="12">
        <f>IFERROR(2*B28/(2*B28+C28*Assumptions!$B$5+D28*Assumptions!$B$6),0)</f>
        <v/>
      </c>
    </row>
    <row r="29">
      <c r="A29" s="10" t="n">
        <v>0.32</v>
      </c>
      <c r="B29" s="4" t="n">
        <v>152</v>
      </c>
      <c r="C29" s="4" t="n">
        <v>129</v>
      </c>
      <c r="D29" s="4" t="n">
        <v>88</v>
      </c>
      <c r="E29" s="4" t="n">
        <v>431</v>
      </c>
      <c r="F29" s="11">
        <f>IFERROR(B29/(B29+C29),0)</f>
        <v/>
      </c>
      <c r="G29" s="11">
        <f>IFERROR(B29/(B29+D29),0)</f>
        <v/>
      </c>
      <c r="H29" s="11">
        <f>(E29+D29)/(B29+C29+D29+E29)</f>
        <v/>
      </c>
      <c r="I29" s="4">
        <f>C29*Assumptions!$B$5+D29*Assumptions!$B$6</f>
        <v/>
      </c>
      <c r="J29" s="12">
        <f>I29/(B29+C29+D29+E29)</f>
        <v/>
      </c>
      <c r="K29" s="12">
        <f>IFERROR(2*B29/(2*B29+C29*Assumptions!$B$5+D29*Assumptions!$B$6),0)</f>
        <v/>
      </c>
    </row>
    <row r="30">
      <c r="A30" s="10" t="n">
        <v>0.33</v>
      </c>
      <c r="B30" s="4" t="n">
        <v>150</v>
      </c>
      <c r="C30" s="4" t="n">
        <v>124</v>
      </c>
      <c r="D30" s="4" t="n">
        <v>90</v>
      </c>
      <c r="E30" s="4" t="n">
        <v>436</v>
      </c>
      <c r="F30" s="11">
        <f>IFERROR(B30/(B30+C30),0)</f>
        <v/>
      </c>
      <c r="G30" s="11">
        <f>IFERROR(B30/(B30+D30),0)</f>
        <v/>
      </c>
      <c r="H30" s="11">
        <f>(E30+D30)/(B30+C30+D30+E30)</f>
        <v/>
      </c>
      <c r="I30" s="4">
        <f>C30*Assumptions!$B$5+D30*Assumptions!$B$6</f>
        <v/>
      </c>
      <c r="J30" s="12">
        <f>I30/(B30+C30+D30+E30)</f>
        <v/>
      </c>
      <c r="K30" s="12">
        <f>IFERROR(2*B30/(2*B30+C30*Assumptions!$B$5+D30*Assumptions!$B$6),0)</f>
        <v/>
      </c>
    </row>
    <row r="31">
      <c r="A31" s="10" t="n">
        <v>0.34</v>
      </c>
      <c r="B31" s="4" t="n">
        <v>149</v>
      </c>
      <c r="C31" s="4" t="n">
        <v>121</v>
      </c>
      <c r="D31" s="4" t="n">
        <v>91</v>
      </c>
      <c r="E31" s="4" t="n">
        <v>439</v>
      </c>
      <c r="F31" s="11">
        <f>IFERROR(B31/(B31+C31),0)</f>
        <v/>
      </c>
      <c r="G31" s="11">
        <f>IFERROR(B31/(B31+D31),0)</f>
        <v/>
      </c>
      <c r="H31" s="11">
        <f>(E31+D31)/(B31+C31+D31+E31)</f>
        <v/>
      </c>
      <c r="I31" s="4">
        <f>C31*Assumptions!$B$5+D31*Assumptions!$B$6</f>
        <v/>
      </c>
      <c r="J31" s="12">
        <f>I31/(B31+C31+D31+E31)</f>
        <v/>
      </c>
      <c r="K31" s="12">
        <f>IFERROR(2*B31/(2*B31+C31*Assumptions!$B$5+D31*Assumptions!$B$6),0)</f>
        <v/>
      </c>
    </row>
    <row r="32">
      <c r="A32" s="10" t="n">
        <v>0.35</v>
      </c>
      <c r="B32" s="4" t="n">
        <v>148</v>
      </c>
      <c r="C32" s="4" t="n">
        <v>114</v>
      </c>
      <c r="D32" s="4" t="n">
        <v>92</v>
      </c>
      <c r="E32" s="4" t="n">
        <v>446</v>
      </c>
      <c r="F32" s="11">
        <f>IFERROR(B32/(B32+C32),0)</f>
        <v/>
      </c>
      <c r="G32" s="11">
        <f>IFERROR(B32/(B32+D32),0)</f>
        <v/>
      </c>
      <c r="H32" s="11">
        <f>(E32+D32)/(B32+C32+D32+E32)</f>
        <v/>
      </c>
      <c r="I32" s="4">
        <f>C32*Assumptions!$B$5+D32*Assumptions!$B$6</f>
        <v/>
      </c>
      <c r="J32" s="12">
        <f>I32/(B32+C32+D32+E32)</f>
        <v/>
      </c>
      <c r="K32" s="12">
        <f>IFERROR(2*B32/(2*B32+C32*Assumptions!$B$5+D32*Assumptions!$B$6),0)</f>
        <v/>
      </c>
    </row>
    <row r="33">
      <c r="A33" s="10" t="n">
        <v>0.36</v>
      </c>
      <c r="B33" s="4" t="n">
        <v>147</v>
      </c>
      <c r="C33" s="4" t="n">
        <v>108</v>
      </c>
      <c r="D33" s="4" t="n">
        <v>93</v>
      </c>
      <c r="E33" s="4" t="n">
        <v>452</v>
      </c>
      <c r="F33" s="11">
        <f>IFERROR(B33/(B33+C33),0)</f>
        <v/>
      </c>
      <c r="G33" s="11">
        <f>IFERROR(B33/(B33+D33),0)</f>
        <v/>
      </c>
      <c r="H33" s="11">
        <f>(E33+D33)/(B33+C33+D33+E33)</f>
        <v/>
      </c>
      <c r="I33" s="4">
        <f>C33*Assumptions!$B$5+D33*Assumptions!$B$6</f>
        <v/>
      </c>
      <c r="J33" s="12">
        <f>I33/(B33+C33+D33+E33)</f>
        <v/>
      </c>
      <c r="K33" s="12">
        <f>IFERROR(2*B33/(2*B33+C33*Assumptions!$B$5+D33*Assumptions!$B$6),0)</f>
        <v/>
      </c>
    </row>
    <row r="34">
      <c r="A34" s="10" t="n">
        <v>0.37</v>
      </c>
      <c r="B34" s="4" t="n">
        <v>140</v>
      </c>
      <c r="C34" s="4" t="n">
        <v>103</v>
      </c>
      <c r="D34" s="4" t="n">
        <v>100</v>
      </c>
      <c r="E34" s="4" t="n">
        <v>457</v>
      </c>
      <c r="F34" s="11">
        <f>IFERROR(B34/(B34+C34),0)</f>
        <v/>
      </c>
      <c r="G34" s="11">
        <f>IFERROR(B34/(B34+D34),0)</f>
        <v/>
      </c>
      <c r="H34" s="11">
        <f>(E34+D34)/(B34+C34+D34+E34)</f>
        <v/>
      </c>
      <c r="I34" s="4">
        <f>C34*Assumptions!$B$5+D34*Assumptions!$B$6</f>
        <v/>
      </c>
      <c r="J34" s="12">
        <f>I34/(B34+C34+D34+E34)</f>
        <v/>
      </c>
      <c r="K34" s="12">
        <f>IFERROR(2*B34/(2*B34+C34*Assumptions!$B$5+D34*Assumptions!$B$6),0)</f>
        <v/>
      </c>
    </row>
    <row r="35">
      <c r="A35" s="10" t="n">
        <v>0.38</v>
      </c>
      <c r="B35" s="4" t="n">
        <v>138</v>
      </c>
      <c r="C35" s="4" t="n">
        <v>102</v>
      </c>
      <c r="D35" s="4" t="n">
        <v>102</v>
      </c>
      <c r="E35" s="4" t="n">
        <v>458</v>
      </c>
      <c r="F35" s="11">
        <f>IFERROR(B35/(B35+C35),0)</f>
        <v/>
      </c>
      <c r="G35" s="11">
        <f>IFERROR(B35/(B35+D35),0)</f>
        <v/>
      </c>
      <c r="H35" s="11">
        <f>(E35+D35)/(B35+C35+D35+E35)</f>
        <v/>
      </c>
      <c r="I35" s="4">
        <f>C35*Assumptions!$B$5+D35*Assumptions!$B$6</f>
        <v/>
      </c>
      <c r="J35" s="12">
        <f>I35/(B35+C35+D35+E35)</f>
        <v/>
      </c>
      <c r="K35" s="12">
        <f>IFERROR(2*B35/(2*B35+C35*Assumptions!$B$5+D35*Assumptions!$B$6),0)</f>
        <v/>
      </c>
    </row>
    <row r="36">
      <c r="A36" s="10" t="n">
        <v>0.39</v>
      </c>
      <c r="B36" s="4" t="n">
        <v>135</v>
      </c>
      <c r="C36" s="4" t="n">
        <v>97</v>
      </c>
      <c r="D36" s="4" t="n">
        <v>105</v>
      </c>
      <c r="E36" s="4" t="n">
        <v>463</v>
      </c>
      <c r="F36" s="11">
        <f>IFERROR(B36/(B36+C36),0)</f>
        <v/>
      </c>
      <c r="G36" s="11">
        <f>IFERROR(B36/(B36+D36),0)</f>
        <v/>
      </c>
      <c r="H36" s="11">
        <f>(E36+D36)/(B36+C36+D36+E36)</f>
        <v/>
      </c>
      <c r="I36" s="4">
        <f>C36*Assumptions!$B$5+D36*Assumptions!$B$6</f>
        <v/>
      </c>
      <c r="J36" s="12">
        <f>I36/(B36+C36+D36+E36)</f>
        <v/>
      </c>
      <c r="K36" s="12">
        <f>IFERROR(2*B36/(2*B36+C36*Assumptions!$B$5+D36*Assumptions!$B$6),0)</f>
        <v/>
      </c>
    </row>
    <row r="37">
      <c r="A37" s="10" t="n">
        <v>0.4</v>
      </c>
      <c r="B37" s="4" t="n">
        <v>133</v>
      </c>
      <c r="C37" s="4" t="n">
        <v>93</v>
      </c>
      <c r="D37" s="4" t="n">
        <v>107</v>
      </c>
      <c r="E37" s="4" t="n">
        <v>467</v>
      </c>
      <c r="F37" s="11">
        <f>IFERROR(B37/(B37+C37),0)</f>
        <v/>
      </c>
      <c r="G37" s="11">
        <f>IFERROR(B37/(B37+D37),0)</f>
        <v/>
      </c>
      <c r="H37" s="11">
        <f>(E37+D37)/(B37+C37+D37+E37)</f>
        <v/>
      </c>
      <c r="I37" s="4">
        <f>C37*Assumptions!$B$5+D37*Assumptions!$B$6</f>
        <v/>
      </c>
      <c r="J37" s="12">
        <f>I37/(B37+C37+D37+E37)</f>
        <v/>
      </c>
      <c r="K37" s="12">
        <f>IFERROR(2*B37/(2*B37+C37*Assumptions!$B$5+D37*Assumptions!$B$6),0)</f>
        <v/>
      </c>
    </row>
    <row r="38">
      <c r="A38" s="10" t="n">
        <v>0.41</v>
      </c>
      <c r="B38" s="4" t="n">
        <v>129</v>
      </c>
      <c r="C38" s="4" t="n">
        <v>89</v>
      </c>
      <c r="D38" s="4" t="n">
        <v>111</v>
      </c>
      <c r="E38" s="4" t="n">
        <v>471</v>
      </c>
      <c r="F38" s="11">
        <f>IFERROR(B38/(B38+C38),0)</f>
        <v/>
      </c>
      <c r="G38" s="11">
        <f>IFERROR(B38/(B38+D38),0)</f>
        <v/>
      </c>
      <c r="H38" s="11">
        <f>(E38+D38)/(B38+C38+D38+E38)</f>
        <v/>
      </c>
      <c r="I38" s="4">
        <f>C38*Assumptions!$B$5+D38*Assumptions!$B$6</f>
        <v/>
      </c>
      <c r="J38" s="12">
        <f>I38/(B38+C38+D38+E38)</f>
        <v/>
      </c>
      <c r="K38" s="12">
        <f>IFERROR(2*B38/(2*B38+C38*Assumptions!$B$5+D38*Assumptions!$B$6),0)</f>
        <v/>
      </c>
    </row>
    <row r="39">
      <c r="A39" s="10" t="n">
        <v>0.42</v>
      </c>
      <c r="B39" s="4" t="n">
        <v>127</v>
      </c>
      <c r="C39" s="4" t="n">
        <v>83</v>
      </c>
      <c r="D39" s="4" t="n">
        <v>113</v>
      </c>
      <c r="E39" s="4" t="n">
        <v>477</v>
      </c>
      <c r="F39" s="11">
        <f>IFERROR(B39/(B39+C39),0)</f>
        <v/>
      </c>
      <c r="G39" s="11">
        <f>IFERROR(B39/(B39+D39),0)</f>
        <v/>
      </c>
      <c r="H39" s="11">
        <f>(E39+D39)/(B39+C39+D39+E39)</f>
        <v/>
      </c>
      <c r="I39" s="4">
        <f>C39*Assumptions!$B$5+D39*Assumptions!$B$6</f>
        <v/>
      </c>
      <c r="J39" s="12">
        <f>I39/(B39+C39+D39+E39)</f>
        <v/>
      </c>
      <c r="K39" s="12">
        <f>IFERROR(2*B39/(2*B39+C39*Assumptions!$B$5+D39*Assumptions!$B$6),0)</f>
        <v/>
      </c>
    </row>
    <row r="40">
      <c r="A40" s="10" t="n">
        <v>0.43</v>
      </c>
      <c r="B40" s="4" t="n">
        <v>123</v>
      </c>
      <c r="C40" s="4" t="n">
        <v>79</v>
      </c>
      <c r="D40" s="4" t="n">
        <v>117</v>
      </c>
      <c r="E40" s="4" t="n">
        <v>481</v>
      </c>
      <c r="F40" s="11">
        <f>IFERROR(B40/(B40+C40),0)</f>
        <v/>
      </c>
      <c r="G40" s="11">
        <f>IFERROR(B40/(B40+D40),0)</f>
        <v/>
      </c>
      <c r="H40" s="11">
        <f>(E40+D40)/(B40+C40+D40+E40)</f>
        <v/>
      </c>
      <c r="I40" s="4">
        <f>C40*Assumptions!$B$5+D40*Assumptions!$B$6</f>
        <v/>
      </c>
      <c r="J40" s="12">
        <f>I40/(B40+C40+D40+E40)</f>
        <v/>
      </c>
      <c r="K40" s="12">
        <f>IFERROR(2*B40/(2*B40+C40*Assumptions!$B$5+D40*Assumptions!$B$6),0)</f>
        <v/>
      </c>
    </row>
    <row r="41">
      <c r="A41" s="10" t="n">
        <v>0.44</v>
      </c>
      <c r="B41" s="4" t="n">
        <v>122</v>
      </c>
      <c r="C41" s="4" t="n">
        <v>75</v>
      </c>
      <c r="D41" s="4" t="n">
        <v>118</v>
      </c>
      <c r="E41" s="4" t="n">
        <v>485</v>
      </c>
      <c r="F41" s="11">
        <f>IFERROR(B41/(B41+C41),0)</f>
        <v/>
      </c>
      <c r="G41" s="11">
        <f>IFERROR(B41/(B41+D41),0)</f>
        <v/>
      </c>
      <c r="H41" s="11">
        <f>(E41+D41)/(B41+C41+D41+E41)</f>
        <v/>
      </c>
      <c r="I41" s="4">
        <f>C41*Assumptions!$B$5+D41*Assumptions!$B$6</f>
        <v/>
      </c>
      <c r="J41" s="12">
        <f>I41/(B41+C41+D41+E41)</f>
        <v/>
      </c>
      <c r="K41" s="12">
        <f>IFERROR(2*B41/(2*B41+C41*Assumptions!$B$5+D41*Assumptions!$B$6),0)</f>
        <v/>
      </c>
    </row>
    <row r="42">
      <c r="A42" s="10" t="n">
        <v>0.45</v>
      </c>
      <c r="B42" s="4" t="n">
        <v>121</v>
      </c>
      <c r="C42" s="4" t="n">
        <v>71</v>
      </c>
      <c r="D42" s="4" t="n">
        <v>119</v>
      </c>
      <c r="E42" s="4" t="n">
        <v>489</v>
      </c>
      <c r="F42" s="11">
        <f>IFERROR(B42/(B42+C42),0)</f>
        <v/>
      </c>
      <c r="G42" s="11">
        <f>IFERROR(B42/(B42+D42),0)</f>
        <v/>
      </c>
      <c r="H42" s="11">
        <f>(E42+D42)/(B42+C42+D42+E42)</f>
        <v/>
      </c>
      <c r="I42" s="4">
        <f>C42*Assumptions!$B$5+D42*Assumptions!$B$6</f>
        <v/>
      </c>
      <c r="J42" s="12">
        <f>I42/(B42+C42+D42+E42)</f>
        <v/>
      </c>
      <c r="K42" s="12">
        <f>IFERROR(2*B42/(2*B42+C42*Assumptions!$B$5+D42*Assumptions!$B$6),0)</f>
        <v/>
      </c>
    </row>
    <row r="43">
      <c r="A43" s="10" t="n">
        <v>0.46</v>
      </c>
      <c r="B43" s="4" t="n">
        <v>118</v>
      </c>
      <c r="C43" s="4" t="n">
        <v>69</v>
      </c>
      <c r="D43" s="4" t="n">
        <v>122</v>
      </c>
      <c r="E43" s="4" t="n">
        <v>491</v>
      </c>
      <c r="F43" s="11">
        <f>IFERROR(B43/(B43+C43),0)</f>
        <v/>
      </c>
      <c r="G43" s="11">
        <f>IFERROR(B43/(B43+D43),0)</f>
        <v/>
      </c>
      <c r="H43" s="11">
        <f>(E43+D43)/(B43+C43+D43+E43)</f>
        <v/>
      </c>
      <c r="I43" s="4">
        <f>C43*Assumptions!$B$5+D43*Assumptions!$B$6</f>
        <v/>
      </c>
      <c r="J43" s="12">
        <f>I43/(B43+C43+D43+E43)</f>
        <v/>
      </c>
      <c r="K43" s="12">
        <f>IFERROR(2*B43/(2*B43+C43*Assumptions!$B$5+D43*Assumptions!$B$6),0)</f>
        <v/>
      </c>
    </row>
    <row r="44">
      <c r="A44" s="10" t="n">
        <v>0.47</v>
      </c>
      <c r="B44" s="4" t="n">
        <v>118</v>
      </c>
      <c r="C44" s="4" t="n">
        <v>67</v>
      </c>
      <c r="D44" s="4" t="n">
        <v>122</v>
      </c>
      <c r="E44" s="4" t="n">
        <v>493</v>
      </c>
      <c r="F44" s="11">
        <f>IFERROR(B44/(B44+C44),0)</f>
        <v/>
      </c>
      <c r="G44" s="11">
        <f>IFERROR(B44/(B44+D44),0)</f>
        <v/>
      </c>
      <c r="H44" s="11">
        <f>(E44+D44)/(B44+C44+D44+E44)</f>
        <v/>
      </c>
      <c r="I44" s="4">
        <f>C44*Assumptions!$B$5+D44*Assumptions!$B$6</f>
        <v/>
      </c>
      <c r="J44" s="12">
        <f>I44/(B44+C44+D44+E44)</f>
        <v/>
      </c>
      <c r="K44" s="12">
        <f>IFERROR(2*B44/(2*B44+C44*Assumptions!$B$5+D44*Assumptions!$B$6),0)</f>
        <v/>
      </c>
    </row>
    <row r="45">
      <c r="A45" s="10" t="n">
        <v>0.48</v>
      </c>
      <c r="B45" s="4" t="n">
        <v>117</v>
      </c>
      <c r="C45" s="4" t="n">
        <v>63</v>
      </c>
      <c r="D45" s="4" t="n">
        <v>123</v>
      </c>
      <c r="E45" s="4" t="n">
        <v>497</v>
      </c>
      <c r="F45" s="11">
        <f>IFERROR(B45/(B45+C45),0)</f>
        <v/>
      </c>
      <c r="G45" s="11">
        <f>IFERROR(B45/(B45+D45),0)</f>
        <v/>
      </c>
      <c r="H45" s="11">
        <f>(E45+D45)/(B45+C45+D45+E45)</f>
        <v/>
      </c>
      <c r="I45" s="4">
        <f>C45*Assumptions!$B$5+D45*Assumptions!$B$6</f>
        <v/>
      </c>
      <c r="J45" s="12">
        <f>I45/(B45+C45+D45+E45)</f>
        <v/>
      </c>
      <c r="K45" s="12">
        <f>IFERROR(2*B45/(2*B45+C45*Assumptions!$B$5+D45*Assumptions!$B$6),0)</f>
        <v/>
      </c>
    </row>
    <row r="46">
      <c r="A46" s="10" t="n">
        <v>0.49</v>
      </c>
      <c r="B46" s="4" t="n">
        <v>117</v>
      </c>
      <c r="C46" s="4" t="n">
        <v>61</v>
      </c>
      <c r="D46" s="4" t="n">
        <v>123</v>
      </c>
      <c r="E46" s="4" t="n">
        <v>499</v>
      </c>
      <c r="F46" s="11">
        <f>IFERROR(B46/(B46+C46),0)</f>
        <v/>
      </c>
      <c r="G46" s="11">
        <f>IFERROR(B46/(B46+D46),0)</f>
        <v/>
      </c>
      <c r="H46" s="11">
        <f>(E46+D46)/(B46+C46+D46+E46)</f>
        <v/>
      </c>
      <c r="I46" s="4">
        <f>C46*Assumptions!$B$5+D46*Assumptions!$B$6</f>
        <v/>
      </c>
      <c r="J46" s="12">
        <f>I46/(B46+C46+D46+E46)</f>
        <v/>
      </c>
      <c r="K46" s="12">
        <f>IFERROR(2*B46/(2*B46+C46*Assumptions!$B$5+D46*Assumptions!$B$6),0)</f>
        <v/>
      </c>
    </row>
    <row r="47">
      <c r="A47" s="10" t="n">
        <v>0.5</v>
      </c>
      <c r="B47" s="4" t="n">
        <v>116</v>
      </c>
      <c r="C47" s="4" t="n">
        <v>56</v>
      </c>
      <c r="D47" s="4" t="n">
        <v>124</v>
      </c>
      <c r="E47" s="4" t="n">
        <v>504</v>
      </c>
      <c r="F47" s="11">
        <f>IFERROR(B47/(B47+C47),0)</f>
        <v/>
      </c>
      <c r="G47" s="11">
        <f>IFERROR(B47/(B47+D47),0)</f>
        <v/>
      </c>
      <c r="H47" s="11">
        <f>(E47+D47)/(B47+C47+D47+E47)</f>
        <v/>
      </c>
      <c r="I47" s="4">
        <f>C47*Assumptions!$B$5+D47*Assumptions!$B$6</f>
        <v/>
      </c>
      <c r="J47" s="12">
        <f>I47/(B47+C47+D47+E47)</f>
        <v/>
      </c>
      <c r="K47" s="12">
        <f>IFERROR(2*B47/(2*B47+C47*Assumptions!$B$5+D47*Assumptions!$B$6),0)</f>
        <v/>
      </c>
    </row>
    <row r="48">
      <c r="A48" s="10" t="n">
        <v>0.51</v>
      </c>
      <c r="B48" s="4" t="n">
        <v>115</v>
      </c>
      <c r="C48" s="4" t="n">
        <v>54</v>
      </c>
      <c r="D48" s="4" t="n">
        <v>125</v>
      </c>
      <c r="E48" s="4" t="n">
        <v>506</v>
      </c>
      <c r="F48" s="11">
        <f>IFERROR(B48/(B48+C48),0)</f>
        <v/>
      </c>
      <c r="G48" s="11">
        <f>IFERROR(B48/(B48+D48),0)</f>
        <v/>
      </c>
      <c r="H48" s="11">
        <f>(E48+D48)/(B48+C48+D48+E48)</f>
        <v/>
      </c>
      <c r="I48" s="4">
        <f>C48*Assumptions!$B$5+D48*Assumptions!$B$6</f>
        <v/>
      </c>
      <c r="J48" s="12">
        <f>I48/(B48+C48+D48+E48)</f>
        <v/>
      </c>
      <c r="K48" s="12">
        <f>IFERROR(2*B48/(2*B48+C48*Assumptions!$B$5+D48*Assumptions!$B$6),0)</f>
        <v/>
      </c>
    </row>
    <row r="49">
      <c r="A49" s="10" t="n">
        <v>0.52</v>
      </c>
      <c r="B49" s="4" t="n">
        <v>113</v>
      </c>
      <c r="C49" s="4" t="n">
        <v>54</v>
      </c>
      <c r="D49" s="4" t="n">
        <v>127</v>
      </c>
      <c r="E49" s="4" t="n">
        <v>506</v>
      </c>
      <c r="F49" s="11">
        <f>IFERROR(B49/(B49+C49),0)</f>
        <v/>
      </c>
      <c r="G49" s="11">
        <f>IFERROR(B49/(B49+D49),0)</f>
        <v/>
      </c>
      <c r="H49" s="11">
        <f>(E49+D49)/(B49+C49+D49+E49)</f>
        <v/>
      </c>
      <c r="I49" s="4">
        <f>C49*Assumptions!$B$5+D49*Assumptions!$B$6</f>
        <v/>
      </c>
      <c r="J49" s="12">
        <f>I49/(B49+C49+D49+E49)</f>
        <v/>
      </c>
      <c r="K49" s="12">
        <f>IFERROR(2*B49/(2*B49+C49*Assumptions!$B$5+D49*Assumptions!$B$6),0)</f>
        <v/>
      </c>
    </row>
    <row r="50">
      <c r="A50" s="10" t="n">
        <v>0.53</v>
      </c>
      <c r="B50" s="4" t="n">
        <v>110</v>
      </c>
      <c r="C50" s="4" t="n">
        <v>52</v>
      </c>
      <c r="D50" s="4" t="n">
        <v>130</v>
      </c>
      <c r="E50" s="4" t="n">
        <v>508</v>
      </c>
      <c r="F50" s="11">
        <f>IFERROR(B50/(B50+C50),0)</f>
        <v/>
      </c>
      <c r="G50" s="11">
        <f>IFERROR(B50/(B50+D50),0)</f>
        <v/>
      </c>
      <c r="H50" s="11">
        <f>(E50+D50)/(B50+C50+D50+E50)</f>
        <v/>
      </c>
      <c r="I50" s="4">
        <f>C50*Assumptions!$B$5+D50*Assumptions!$B$6</f>
        <v/>
      </c>
      <c r="J50" s="12">
        <f>I50/(B50+C50+D50+E50)</f>
        <v/>
      </c>
      <c r="K50" s="12">
        <f>IFERROR(2*B50/(2*B50+C50*Assumptions!$B$5+D50*Assumptions!$B$6),0)</f>
        <v/>
      </c>
    </row>
    <row r="51">
      <c r="A51" s="10" t="n">
        <v>0.54</v>
      </c>
      <c r="B51" s="4" t="n">
        <v>105</v>
      </c>
      <c r="C51" s="4" t="n">
        <v>50</v>
      </c>
      <c r="D51" s="4" t="n">
        <v>135</v>
      </c>
      <c r="E51" s="4" t="n">
        <v>510</v>
      </c>
      <c r="F51" s="11">
        <f>IFERROR(B51/(B51+C51),0)</f>
        <v/>
      </c>
      <c r="G51" s="11">
        <f>IFERROR(B51/(B51+D51),0)</f>
        <v/>
      </c>
      <c r="H51" s="11">
        <f>(E51+D51)/(B51+C51+D51+E51)</f>
        <v/>
      </c>
      <c r="I51" s="4">
        <f>C51*Assumptions!$B$5+D51*Assumptions!$B$6</f>
        <v/>
      </c>
      <c r="J51" s="12">
        <f>I51/(B51+C51+D51+E51)</f>
        <v/>
      </c>
      <c r="K51" s="12">
        <f>IFERROR(2*B51/(2*B51+C51*Assumptions!$B$5+D51*Assumptions!$B$6),0)</f>
        <v/>
      </c>
    </row>
    <row r="52">
      <c r="A52" s="10" t="n">
        <v>0.55</v>
      </c>
      <c r="B52" s="4" t="n">
        <v>104</v>
      </c>
      <c r="C52" s="4" t="n">
        <v>49</v>
      </c>
      <c r="D52" s="4" t="n">
        <v>136</v>
      </c>
      <c r="E52" s="4" t="n">
        <v>511</v>
      </c>
      <c r="F52" s="11">
        <f>IFERROR(B52/(B52+C52),0)</f>
        <v/>
      </c>
      <c r="G52" s="11">
        <f>IFERROR(B52/(B52+D52),0)</f>
        <v/>
      </c>
      <c r="H52" s="11">
        <f>(E52+D52)/(B52+C52+D52+E52)</f>
        <v/>
      </c>
      <c r="I52" s="4">
        <f>C52*Assumptions!$B$5+D52*Assumptions!$B$6</f>
        <v/>
      </c>
      <c r="J52" s="12">
        <f>I52/(B52+C52+D52+E52)</f>
        <v/>
      </c>
      <c r="K52" s="12">
        <f>IFERROR(2*B52/(2*B52+C52*Assumptions!$B$5+D52*Assumptions!$B$6),0)</f>
        <v/>
      </c>
    </row>
    <row r="53">
      <c r="A53" s="10" t="n">
        <v>0.5600000000000001</v>
      </c>
      <c r="B53" s="4" t="n">
        <v>102</v>
      </c>
      <c r="C53" s="4" t="n">
        <v>48</v>
      </c>
      <c r="D53" s="4" t="n">
        <v>138</v>
      </c>
      <c r="E53" s="4" t="n">
        <v>512</v>
      </c>
      <c r="F53" s="11">
        <f>IFERROR(B53/(B53+C53),0)</f>
        <v/>
      </c>
      <c r="G53" s="11">
        <f>IFERROR(B53/(B53+D53),0)</f>
        <v/>
      </c>
      <c r="H53" s="11">
        <f>(E53+D53)/(B53+C53+D53+E53)</f>
        <v/>
      </c>
      <c r="I53" s="4">
        <f>C53*Assumptions!$B$5+D53*Assumptions!$B$6</f>
        <v/>
      </c>
      <c r="J53" s="12">
        <f>I53/(B53+C53+D53+E53)</f>
        <v/>
      </c>
      <c r="K53" s="12">
        <f>IFERROR(2*B53/(2*B53+C53*Assumptions!$B$5+D53*Assumptions!$B$6),0)</f>
        <v/>
      </c>
    </row>
    <row r="54">
      <c r="A54" s="10" t="n">
        <v>0.57</v>
      </c>
      <c r="B54" s="4" t="n">
        <v>97</v>
      </c>
      <c r="C54" s="4" t="n">
        <v>46</v>
      </c>
      <c r="D54" s="4" t="n">
        <v>143</v>
      </c>
      <c r="E54" s="4" t="n">
        <v>514</v>
      </c>
      <c r="F54" s="11">
        <f>IFERROR(B54/(B54+C54),0)</f>
        <v/>
      </c>
      <c r="G54" s="11">
        <f>IFERROR(B54/(B54+D54),0)</f>
        <v/>
      </c>
      <c r="H54" s="11">
        <f>(E54+D54)/(B54+C54+D54+E54)</f>
        <v/>
      </c>
      <c r="I54" s="4">
        <f>C54*Assumptions!$B$5+D54*Assumptions!$B$6</f>
        <v/>
      </c>
      <c r="J54" s="12">
        <f>I54/(B54+C54+D54+E54)</f>
        <v/>
      </c>
      <c r="K54" s="12">
        <f>IFERROR(2*B54/(2*B54+C54*Assumptions!$B$5+D54*Assumptions!$B$6),0)</f>
        <v/>
      </c>
    </row>
    <row r="55">
      <c r="A55" s="10" t="n">
        <v>0.58</v>
      </c>
      <c r="B55" s="4" t="n">
        <v>96</v>
      </c>
      <c r="C55" s="4" t="n">
        <v>42</v>
      </c>
      <c r="D55" s="4" t="n">
        <v>144</v>
      </c>
      <c r="E55" s="4" t="n">
        <v>518</v>
      </c>
      <c r="F55" s="11">
        <f>IFERROR(B55/(B55+C55),0)</f>
        <v/>
      </c>
      <c r="G55" s="11">
        <f>IFERROR(B55/(B55+D55),0)</f>
        <v/>
      </c>
      <c r="H55" s="11">
        <f>(E55+D55)/(B55+C55+D55+E55)</f>
        <v/>
      </c>
      <c r="I55" s="4">
        <f>C55*Assumptions!$B$5+D55*Assumptions!$B$6</f>
        <v/>
      </c>
      <c r="J55" s="12">
        <f>I55/(B55+C55+D55+E55)</f>
        <v/>
      </c>
      <c r="K55" s="12">
        <f>IFERROR(2*B55/(2*B55+C55*Assumptions!$B$5+D55*Assumptions!$B$6),0)</f>
        <v/>
      </c>
    </row>
    <row r="56">
      <c r="A56" s="10" t="n">
        <v>0.59</v>
      </c>
      <c r="B56" s="4" t="n">
        <v>95</v>
      </c>
      <c r="C56" s="4" t="n">
        <v>40</v>
      </c>
      <c r="D56" s="4" t="n">
        <v>145</v>
      </c>
      <c r="E56" s="4" t="n">
        <v>520</v>
      </c>
      <c r="F56" s="11">
        <f>IFERROR(B56/(B56+C56),0)</f>
        <v/>
      </c>
      <c r="G56" s="11">
        <f>IFERROR(B56/(B56+D56),0)</f>
        <v/>
      </c>
      <c r="H56" s="11">
        <f>(E56+D56)/(B56+C56+D56+E56)</f>
        <v/>
      </c>
      <c r="I56" s="4">
        <f>C56*Assumptions!$B$5+D56*Assumptions!$B$6</f>
        <v/>
      </c>
      <c r="J56" s="12">
        <f>I56/(B56+C56+D56+E56)</f>
        <v/>
      </c>
      <c r="K56" s="12">
        <f>IFERROR(2*B56/(2*B56+C56*Assumptions!$B$5+D56*Assumptions!$B$6),0)</f>
        <v/>
      </c>
    </row>
    <row r="57">
      <c r="A57" s="10" t="n">
        <v>0.6</v>
      </c>
      <c r="B57" s="4" t="n">
        <v>91</v>
      </c>
      <c r="C57" s="4" t="n">
        <v>36</v>
      </c>
      <c r="D57" s="4" t="n">
        <v>149</v>
      </c>
      <c r="E57" s="4" t="n">
        <v>524</v>
      </c>
      <c r="F57" s="11">
        <f>IFERROR(B57/(B57+C57),0)</f>
        <v/>
      </c>
      <c r="G57" s="11">
        <f>IFERROR(B57/(B57+D57),0)</f>
        <v/>
      </c>
      <c r="H57" s="11">
        <f>(E57+D57)/(B57+C57+D57+E57)</f>
        <v/>
      </c>
      <c r="I57" s="4">
        <f>C57*Assumptions!$B$5+D57*Assumptions!$B$6</f>
        <v/>
      </c>
      <c r="J57" s="12">
        <f>I57/(B57+C57+D57+E57)</f>
        <v/>
      </c>
      <c r="K57" s="12">
        <f>IFERROR(2*B57/(2*B57+C57*Assumptions!$B$5+D57*Assumptions!$B$6),0)</f>
        <v/>
      </c>
    </row>
    <row r="58">
      <c r="A58" s="10" t="n">
        <v>0.61</v>
      </c>
      <c r="B58" s="4" t="n">
        <v>89</v>
      </c>
      <c r="C58" s="4" t="n">
        <v>36</v>
      </c>
      <c r="D58" s="4" t="n">
        <v>151</v>
      </c>
      <c r="E58" s="4" t="n">
        <v>524</v>
      </c>
      <c r="F58" s="11">
        <f>IFERROR(B58/(B58+C58),0)</f>
        <v/>
      </c>
      <c r="G58" s="11">
        <f>IFERROR(B58/(B58+D58),0)</f>
        <v/>
      </c>
      <c r="H58" s="11">
        <f>(E58+D58)/(B58+C58+D58+E58)</f>
        <v/>
      </c>
      <c r="I58" s="4">
        <f>C58*Assumptions!$B$5+D58*Assumptions!$B$6</f>
        <v/>
      </c>
      <c r="J58" s="12">
        <f>I58/(B58+C58+D58+E58)</f>
        <v/>
      </c>
      <c r="K58" s="12">
        <f>IFERROR(2*B58/(2*B58+C58*Assumptions!$B$5+D58*Assumptions!$B$6),0)</f>
        <v/>
      </c>
    </row>
    <row r="59">
      <c r="A59" s="10" t="n">
        <v>0.62</v>
      </c>
      <c r="B59" s="4" t="n">
        <v>83</v>
      </c>
      <c r="C59" s="4" t="n">
        <v>34</v>
      </c>
      <c r="D59" s="4" t="n">
        <v>157</v>
      </c>
      <c r="E59" s="4" t="n">
        <v>526</v>
      </c>
      <c r="F59" s="11">
        <f>IFERROR(B59/(B59+C59),0)</f>
        <v/>
      </c>
      <c r="G59" s="11">
        <f>IFERROR(B59/(B59+D59),0)</f>
        <v/>
      </c>
      <c r="H59" s="11">
        <f>(E59+D59)/(B59+C59+D59+E59)</f>
        <v/>
      </c>
      <c r="I59" s="4">
        <f>C59*Assumptions!$B$5+D59*Assumptions!$B$6</f>
        <v/>
      </c>
      <c r="J59" s="12">
        <f>I59/(B59+C59+D59+E59)</f>
        <v/>
      </c>
      <c r="K59" s="12">
        <f>IFERROR(2*B59/(2*B59+C59*Assumptions!$B$5+D59*Assumptions!$B$6),0)</f>
        <v/>
      </c>
    </row>
    <row r="60">
      <c r="A60" s="10" t="n">
        <v>0.63</v>
      </c>
      <c r="B60" s="4" t="n">
        <v>78</v>
      </c>
      <c r="C60" s="4" t="n">
        <v>34</v>
      </c>
      <c r="D60" s="4" t="n">
        <v>162</v>
      </c>
      <c r="E60" s="4" t="n">
        <v>526</v>
      </c>
      <c r="F60" s="11">
        <f>IFERROR(B60/(B60+C60),0)</f>
        <v/>
      </c>
      <c r="G60" s="11">
        <f>IFERROR(B60/(B60+D60),0)</f>
        <v/>
      </c>
      <c r="H60" s="11">
        <f>(E60+D60)/(B60+C60+D60+E60)</f>
        <v/>
      </c>
      <c r="I60" s="4">
        <f>C60*Assumptions!$B$5+D60*Assumptions!$B$6</f>
        <v/>
      </c>
      <c r="J60" s="12">
        <f>I60/(B60+C60+D60+E60)</f>
        <v/>
      </c>
      <c r="K60" s="12">
        <f>IFERROR(2*B60/(2*B60+C60*Assumptions!$B$5+D60*Assumptions!$B$6),0)</f>
        <v/>
      </c>
    </row>
    <row r="61">
      <c r="A61" s="10" t="n">
        <v>0.64</v>
      </c>
      <c r="B61" s="4" t="n">
        <v>74</v>
      </c>
      <c r="C61" s="4" t="n">
        <v>33</v>
      </c>
      <c r="D61" s="4" t="n">
        <v>166</v>
      </c>
      <c r="E61" s="4" t="n">
        <v>527</v>
      </c>
      <c r="F61" s="11">
        <f>IFERROR(B61/(B61+C61),0)</f>
        <v/>
      </c>
      <c r="G61" s="11">
        <f>IFERROR(B61/(B61+D61),0)</f>
        <v/>
      </c>
      <c r="H61" s="11">
        <f>(E61+D61)/(B61+C61+D61+E61)</f>
        <v/>
      </c>
      <c r="I61" s="4">
        <f>C61*Assumptions!$B$5+D61*Assumptions!$B$6</f>
        <v/>
      </c>
      <c r="J61" s="12">
        <f>I61/(B61+C61+D61+E61)</f>
        <v/>
      </c>
      <c r="K61" s="12">
        <f>IFERROR(2*B61/(2*B61+C61*Assumptions!$B$5+D61*Assumptions!$B$6),0)</f>
        <v/>
      </c>
    </row>
    <row r="62">
      <c r="A62" s="10" t="n">
        <v>0.65</v>
      </c>
      <c r="B62" s="4" t="n">
        <v>71</v>
      </c>
      <c r="C62" s="4" t="n">
        <v>30</v>
      </c>
      <c r="D62" s="4" t="n">
        <v>169</v>
      </c>
      <c r="E62" s="4" t="n">
        <v>530</v>
      </c>
      <c r="F62" s="11">
        <f>IFERROR(B62/(B62+C62),0)</f>
        <v/>
      </c>
      <c r="G62" s="11">
        <f>IFERROR(B62/(B62+D62),0)</f>
        <v/>
      </c>
      <c r="H62" s="11">
        <f>(E62+D62)/(B62+C62+D62+E62)</f>
        <v/>
      </c>
      <c r="I62" s="4">
        <f>C62*Assumptions!$B$5+D62*Assumptions!$B$6</f>
        <v/>
      </c>
      <c r="J62" s="12">
        <f>I62/(B62+C62+D62+E62)</f>
        <v/>
      </c>
      <c r="K62" s="12">
        <f>IFERROR(2*B62/(2*B62+C62*Assumptions!$B$5+D62*Assumptions!$B$6),0)</f>
        <v/>
      </c>
    </row>
    <row r="63">
      <c r="A63" s="10" t="n">
        <v>0.66</v>
      </c>
      <c r="B63" s="4" t="n">
        <v>68</v>
      </c>
      <c r="C63" s="4" t="n">
        <v>29</v>
      </c>
      <c r="D63" s="4" t="n">
        <v>172</v>
      </c>
      <c r="E63" s="4" t="n">
        <v>531</v>
      </c>
      <c r="F63" s="11">
        <f>IFERROR(B63/(B63+C63),0)</f>
        <v/>
      </c>
      <c r="G63" s="11">
        <f>IFERROR(B63/(B63+D63),0)</f>
        <v/>
      </c>
      <c r="H63" s="11">
        <f>(E63+D63)/(B63+C63+D63+E63)</f>
        <v/>
      </c>
      <c r="I63" s="4">
        <f>C63*Assumptions!$B$5+D63*Assumptions!$B$6</f>
        <v/>
      </c>
      <c r="J63" s="12">
        <f>I63/(B63+C63+D63+E63)</f>
        <v/>
      </c>
      <c r="K63" s="12">
        <f>IFERROR(2*B63/(2*B63+C63*Assumptions!$B$5+D63*Assumptions!$B$6),0)</f>
        <v/>
      </c>
    </row>
    <row r="64">
      <c r="A64" s="10" t="n">
        <v>0.67</v>
      </c>
      <c r="B64" s="4" t="n">
        <v>65</v>
      </c>
      <c r="C64" s="4" t="n">
        <v>29</v>
      </c>
      <c r="D64" s="4" t="n">
        <v>175</v>
      </c>
      <c r="E64" s="4" t="n">
        <v>531</v>
      </c>
      <c r="F64" s="11">
        <f>IFERROR(B64/(B64+C64),0)</f>
        <v/>
      </c>
      <c r="G64" s="11">
        <f>IFERROR(B64/(B64+D64),0)</f>
        <v/>
      </c>
      <c r="H64" s="11">
        <f>(E64+D64)/(B64+C64+D64+E64)</f>
        <v/>
      </c>
      <c r="I64" s="4">
        <f>C64*Assumptions!$B$5+D64*Assumptions!$B$6</f>
        <v/>
      </c>
      <c r="J64" s="12">
        <f>I64/(B64+C64+D64+E64)</f>
        <v/>
      </c>
      <c r="K64" s="12">
        <f>IFERROR(2*B64/(2*B64+C64*Assumptions!$B$5+D64*Assumptions!$B$6),0)</f>
        <v/>
      </c>
    </row>
    <row r="65">
      <c r="A65" s="10" t="n">
        <v>0.68</v>
      </c>
      <c r="B65" s="4" t="n">
        <v>59</v>
      </c>
      <c r="C65" s="4" t="n">
        <v>29</v>
      </c>
      <c r="D65" s="4" t="n">
        <v>181</v>
      </c>
      <c r="E65" s="4" t="n">
        <v>531</v>
      </c>
      <c r="F65" s="11">
        <f>IFERROR(B65/(B65+C65),0)</f>
        <v/>
      </c>
      <c r="G65" s="11">
        <f>IFERROR(B65/(B65+D65),0)</f>
        <v/>
      </c>
      <c r="H65" s="11">
        <f>(E65+D65)/(B65+C65+D65+E65)</f>
        <v/>
      </c>
      <c r="I65" s="4">
        <f>C65*Assumptions!$B$5+D65*Assumptions!$B$6</f>
        <v/>
      </c>
      <c r="J65" s="12">
        <f>I65/(B65+C65+D65+E65)</f>
        <v/>
      </c>
      <c r="K65" s="12">
        <f>IFERROR(2*B65/(2*B65+C65*Assumptions!$B$5+D65*Assumptions!$B$6),0)</f>
        <v/>
      </c>
    </row>
    <row r="66">
      <c r="A66" s="10" t="n">
        <v>0.6899999999999999</v>
      </c>
      <c r="B66" s="4" t="n">
        <v>56</v>
      </c>
      <c r="C66" s="4" t="n">
        <v>28</v>
      </c>
      <c r="D66" s="4" t="n">
        <v>184</v>
      </c>
      <c r="E66" s="4" t="n">
        <v>532</v>
      </c>
      <c r="F66" s="11">
        <f>IFERROR(B66/(B66+C66),0)</f>
        <v/>
      </c>
      <c r="G66" s="11">
        <f>IFERROR(B66/(B66+D66),0)</f>
        <v/>
      </c>
      <c r="H66" s="11">
        <f>(E66+D66)/(B66+C66+D66+E66)</f>
        <v/>
      </c>
      <c r="I66" s="4">
        <f>C66*Assumptions!$B$5+D66*Assumptions!$B$6</f>
        <v/>
      </c>
      <c r="J66" s="12">
        <f>I66/(B66+C66+D66+E66)</f>
        <v/>
      </c>
      <c r="K66" s="12">
        <f>IFERROR(2*B66/(2*B66+C66*Assumptions!$B$5+D66*Assumptions!$B$6),0)</f>
        <v/>
      </c>
    </row>
    <row r="67">
      <c r="A67" s="10" t="n">
        <v>0.7</v>
      </c>
      <c r="B67" s="4" t="n">
        <v>55</v>
      </c>
      <c r="C67" s="4" t="n">
        <v>26</v>
      </c>
      <c r="D67" s="4" t="n">
        <v>185</v>
      </c>
      <c r="E67" s="4" t="n">
        <v>534</v>
      </c>
      <c r="F67" s="11">
        <f>IFERROR(B67/(B67+C67),0)</f>
        <v/>
      </c>
      <c r="G67" s="11">
        <f>IFERROR(B67/(B67+D67),0)</f>
        <v/>
      </c>
      <c r="H67" s="11">
        <f>(E67+D67)/(B67+C67+D67+E67)</f>
        <v/>
      </c>
      <c r="I67" s="4">
        <f>C67*Assumptions!$B$5+D67*Assumptions!$B$6</f>
        <v/>
      </c>
      <c r="J67" s="12">
        <f>I67/(B67+C67+D67+E67)</f>
        <v/>
      </c>
      <c r="K67" s="12">
        <f>IFERROR(2*B67/(2*B67+C67*Assumptions!$B$5+D67*Assumptions!$B$6),0)</f>
        <v/>
      </c>
    </row>
    <row r="68">
      <c r="A68" s="10" t="n">
        <v>0.71</v>
      </c>
      <c r="B68" s="4" t="n">
        <v>50</v>
      </c>
      <c r="C68" s="4" t="n">
        <v>24</v>
      </c>
      <c r="D68" s="4" t="n">
        <v>190</v>
      </c>
      <c r="E68" s="4" t="n">
        <v>536</v>
      </c>
      <c r="F68" s="11">
        <f>IFERROR(B68/(B68+C68),0)</f>
        <v/>
      </c>
      <c r="G68" s="11">
        <f>IFERROR(B68/(B68+D68),0)</f>
        <v/>
      </c>
      <c r="H68" s="11">
        <f>(E68+D68)/(B68+C68+D68+E68)</f>
        <v/>
      </c>
      <c r="I68" s="4">
        <f>C68*Assumptions!$B$5+D68*Assumptions!$B$6</f>
        <v/>
      </c>
      <c r="J68" s="12">
        <f>I68/(B68+C68+D68+E68)</f>
        <v/>
      </c>
      <c r="K68" s="12">
        <f>IFERROR(2*B68/(2*B68+C68*Assumptions!$B$5+D68*Assumptions!$B$6),0)</f>
        <v/>
      </c>
    </row>
    <row r="69">
      <c r="A69" s="10" t="n">
        <v>0.72</v>
      </c>
      <c r="B69" s="4" t="n">
        <v>44</v>
      </c>
      <c r="C69" s="4" t="n">
        <v>22</v>
      </c>
      <c r="D69" s="4" t="n">
        <v>196</v>
      </c>
      <c r="E69" s="4" t="n">
        <v>538</v>
      </c>
      <c r="F69" s="11">
        <f>IFERROR(B69/(B69+C69),0)</f>
        <v/>
      </c>
      <c r="G69" s="11">
        <f>IFERROR(B69/(B69+D69),0)</f>
        <v/>
      </c>
      <c r="H69" s="11">
        <f>(E69+D69)/(B69+C69+D69+E69)</f>
        <v/>
      </c>
      <c r="I69" s="4">
        <f>C69*Assumptions!$B$5+D69*Assumptions!$B$6</f>
        <v/>
      </c>
      <c r="J69" s="12">
        <f>I69/(B69+C69+D69+E69)</f>
        <v/>
      </c>
      <c r="K69" s="12">
        <f>IFERROR(2*B69/(2*B69+C69*Assumptions!$B$5+D69*Assumptions!$B$6),0)</f>
        <v/>
      </c>
    </row>
    <row r="70">
      <c r="A70" s="10" t="n">
        <v>0.73</v>
      </c>
      <c r="B70" s="4" t="n">
        <v>41</v>
      </c>
      <c r="C70" s="4" t="n">
        <v>22</v>
      </c>
      <c r="D70" s="4" t="n">
        <v>199</v>
      </c>
      <c r="E70" s="4" t="n">
        <v>538</v>
      </c>
      <c r="F70" s="11">
        <f>IFERROR(B70/(B70+C70),0)</f>
        <v/>
      </c>
      <c r="G70" s="11">
        <f>IFERROR(B70/(B70+D70),0)</f>
        <v/>
      </c>
      <c r="H70" s="11">
        <f>(E70+D70)/(B70+C70+D70+E70)</f>
        <v/>
      </c>
      <c r="I70" s="4">
        <f>C70*Assumptions!$B$5+D70*Assumptions!$B$6</f>
        <v/>
      </c>
      <c r="J70" s="12">
        <f>I70/(B70+C70+D70+E70)</f>
        <v/>
      </c>
      <c r="K70" s="12">
        <f>IFERROR(2*B70/(2*B70+C70*Assumptions!$B$5+D70*Assumptions!$B$6),0)</f>
        <v/>
      </c>
    </row>
    <row r="71">
      <c r="A71" s="10" t="n">
        <v>0.74</v>
      </c>
      <c r="B71" s="4" t="n">
        <v>39</v>
      </c>
      <c r="C71" s="4" t="n">
        <v>22</v>
      </c>
      <c r="D71" s="4" t="n">
        <v>201</v>
      </c>
      <c r="E71" s="4" t="n">
        <v>538</v>
      </c>
      <c r="F71" s="11">
        <f>IFERROR(B71/(B71+C71),0)</f>
        <v/>
      </c>
      <c r="G71" s="11">
        <f>IFERROR(B71/(B71+D71),0)</f>
        <v/>
      </c>
      <c r="H71" s="11">
        <f>(E71+D71)/(B71+C71+D71+E71)</f>
        <v/>
      </c>
      <c r="I71" s="4">
        <f>C71*Assumptions!$B$5+D71*Assumptions!$B$6</f>
        <v/>
      </c>
      <c r="J71" s="12">
        <f>I71/(B71+C71+D71+E71)</f>
        <v/>
      </c>
      <c r="K71" s="12">
        <f>IFERROR(2*B71/(2*B71+C71*Assumptions!$B$5+D71*Assumptions!$B$6),0)</f>
        <v/>
      </c>
    </row>
    <row r="72">
      <c r="A72" s="10" t="n">
        <v>0.75</v>
      </c>
      <c r="B72" s="4" t="n">
        <v>36</v>
      </c>
      <c r="C72" s="4" t="n">
        <v>19</v>
      </c>
      <c r="D72" s="4" t="n">
        <v>204</v>
      </c>
      <c r="E72" s="4" t="n">
        <v>541</v>
      </c>
      <c r="F72" s="11">
        <f>IFERROR(B72/(B72+C72),0)</f>
        <v/>
      </c>
      <c r="G72" s="11">
        <f>IFERROR(B72/(B72+D72),0)</f>
        <v/>
      </c>
      <c r="H72" s="11">
        <f>(E72+D72)/(B72+C72+D72+E72)</f>
        <v/>
      </c>
      <c r="I72" s="4">
        <f>C72*Assumptions!$B$5+D72*Assumptions!$B$6</f>
        <v/>
      </c>
      <c r="J72" s="12">
        <f>I72/(B72+C72+D72+E72)</f>
        <v/>
      </c>
      <c r="K72" s="12">
        <f>IFERROR(2*B72/(2*B72+C72*Assumptions!$B$5+D72*Assumptions!$B$6),0)</f>
        <v/>
      </c>
    </row>
    <row r="73">
      <c r="A73" s="10" t="n">
        <v>0.76</v>
      </c>
      <c r="B73" s="4" t="n">
        <v>34</v>
      </c>
      <c r="C73" s="4" t="n">
        <v>17</v>
      </c>
      <c r="D73" s="4" t="n">
        <v>206</v>
      </c>
      <c r="E73" s="4" t="n">
        <v>543</v>
      </c>
      <c r="F73" s="11">
        <f>IFERROR(B73/(B73+C73),0)</f>
        <v/>
      </c>
      <c r="G73" s="11">
        <f>IFERROR(B73/(B73+D73),0)</f>
        <v/>
      </c>
      <c r="H73" s="11">
        <f>(E73+D73)/(B73+C73+D73+E73)</f>
        <v/>
      </c>
      <c r="I73" s="4">
        <f>C73*Assumptions!$B$5+D73*Assumptions!$B$6</f>
        <v/>
      </c>
      <c r="J73" s="12">
        <f>I73/(B73+C73+D73+E73)</f>
        <v/>
      </c>
      <c r="K73" s="12">
        <f>IFERROR(2*B73/(2*B73+C73*Assumptions!$B$5+D73*Assumptions!$B$6),0)</f>
        <v/>
      </c>
    </row>
    <row r="74">
      <c r="A74" s="10" t="n">
        <v>0.77</v>
      </c>
      <c r="B74" s="4" t="n">
        <v>32</v>
      </c>
      <c r="C74" s="4" t="n">
        <v>16</v>
      </c>
      <c r="D74" s="4" t="n">
        <v>208</v>
      </c>
      <c r="E74" s="4" t="n">
        <v>544</v>
      </c>
      <c r="F74" s="11">
        <f>IFERROR(B74/(B74+C74),0)</f>
        <v/>
      </c>
      <c r="G74" s="11">
        <f>IFERROR(B74/(B74+D74),0)</f>
        <v/>
      </c>
      <c r="H74" s="11">
        <f>(E74+D74)/(B74+C74+D74+E74)</f>
        <v/>
      </c>
      <c r="I74" s="4">
        <f>C74*Assumptions!$B$5+D74*Assumptions!$B$6</f>
        <v/>
      </c>
      <c r="J74" s="12">
        <f>I74/(B74+C74+D74+E74)</f>
        <v/>
      </c>
      <c r="K74" s="12">
        <f>IFERROR(2*B74/(2*B74+C74*Assumptions!$B$5+D74*Assumptions!$B$6),0)</f>
        <v/>
      </c>
    </row>
    <row r="75">
      <c r="A75" s="10" t="n">
        <v>0.78</v>
      </c>
      <c r="B75" s="4" t="n">
        <v>26</v>
      </c>
      <c r="C75" s="4" t="n">
        <v>14</v>
      </c>
      <c r="D75" s="4" t="n">
        <v>214</v>
      </c>
      <c r="E75" s="4" t="n">
        <v>546</v>
      </c>
      <c r="F75" s="11">
        <f>IFERROR(B75/(B75+C75),0)</f>
        <v/>
      </c>
      <c r="G75" s="11">
        <f>IFERROR(B75/(B75+D75),0)</f>
        <v/>
      </c>
      <c r="H75" s="11">
        <f>(E75+D75)/(B75+C75+D75+E75)</f>
        <v/>
      </c>
      <c r="I75" s="4">
        <f>C75*Assumptions!$B$5+D75*Assumptions!$B$6</f>
        <v/>
      </c>
      <c r="J75" s="12">
        <f>I75/(B75+C75+D75+E75)</f>
        <v/>
      </c>
      <c r="K75" s="12">
        <f>IFERROR(2*B75/(2*B75+C75*Assumptions!$B$5+D75*Assumptions!$B$6),0)</f>
        <v/>
      </c>
    </row>
    <row r="76">
      <c r="A76" s="10" t="n">
        <v>0.79</v>
      </c>
      <c r="B76" s="4" t="n">
        <v>24</v>
      </c>
      <c r="C76" s="4" t="n">
        <v>14</v>
      </c>
      <c r="D76" s="4" t="n">
        <v>216</v>
      </c>
      <c r="E76" s="4" t="n">
        <v>546</v>
      </c>
      <c r="F76" s="11">
        <f>IFERROR(B76/(B76+C76),0)</f>
        <v/>
      </c>
      <c r="G76" s="11">
        <f>IFERROR(B76/(B76+D76),0)</f>
        <v/>
      </c>
      <c r="H76" s="11">
        <f>(E76+D76)/(B76+C76+D76+E76)</f>
        <v/>
      </c>
      <c r="I76" s="4">
        <f>C76*Assumptions!$B$5+D76*Assumptions!$B$6</f>
        <v/>
      </c>
      <c r="J76" s="12">
        <f>I76/(B76+C76+D76+E76)</f>
        <v/>
      </c>
      <c r="K76" s="12">
        <f>IFERROR(2*B76/(2*B76+C76*Assumptions!$B$5+D76*Assumptions!$B$6),0)</f>
        <v/>
      </c>
    </row>
    <row r="77">
      <c r="A77" s="10" t="n">
        <v>0.8</v>
      </c>
      <c r="B77" s="4" t="n">
        <v>24</v>
      </c>
      <c r="C77" s="4" t="n">
        <v>13</v>
      </c>
      <c r="D77" s="4" t="n">
        <v>216</v>
      </c>
      <c r="E77" s="4" t="n">
        <v>547</v>
      </c>
      <c r="F77" s="11">
        <f>IFERROR(B77/(B77+C77),0)</f>
        <v/>
      </c>
      <c r="G77" s="11">
        <f>IFERROR(B77/(B77+D77),0)</f>
        <v/>
      </c>
      <c r="H77" s="11">
        <f>(E77+D77)/(B77+C77+D77+E77)</f>
        <v/>
      </c>
      <c r="I77" s="4">
        <f>C77*Assumptions!$B$5+D77*Assumptions!$B$6</f>
        <v/>
      </c>
      <c r="J77" s="12">
        <f>I77/(B77+C77+D77+E77)</f>
        <v/>
      </c>
      <c r="K77" s="12">
        <f>IFERROR(2*B77/(2*B77+C77*Assumptions!$B$5+D77*Assumptions!$B$6),0)</f>
        <v/>
      </c>
    </row>
    <row r="78">
      <c r="A78" s="10" t="n">
        <v>0.8100000000000001</v>
      </c>
      <c r="B78" s="4" t="n">
        <v>21</v>
      </c>
      <c r="C78" s="4" t="n">
        <v>12</v>
      </c>
      <c r="D78" s="4" t="n">
        <v>219</v>
      </c>
      <c r="E78" s="4" t="n">
        <v>548</v>
      </c>
      <c r="F78" s="11">
        <f>IFERROR(B78/(B78+C78),0)</f>
        <v/>
      </c>
      <c r="G78" s="11">
        <f>IFERROR(B78/(B78+D78),0)</f>
        <v/>
      </c>
      <c r="H78" s="11">
        <f>(E78+D78)/(B78+C78+D78+E78)</f>
        <v/>
      </c>
      <c r="I78" s="4">
        <f>C78*Assumptions!$B$5+D78*Assumptions!$B$6</f>
        <v/>
      </c>
      <c r="J78" s="12">
        <f>I78/(B78+C78+D78+E78)</f>
        <v/>
      </c>
      <c r="K78" s="12">
        <f>IFERROR(2*B78/(2*B78+C78*Assumptions!$B$5+D78*Assumptions!$B$6),0)</f>
        <v/>
      </c>
    </row>
    <row r="79">
      <c r="A79" s="10" t="n">
        <v>0.82</v>
      </c>
      <c r="B79" s="4" t="n">
        <v>16</v>
      </c>
      <c r="C79" s="4" t="n">
        <v>10</v>
      </c>
      <c r="D79" s="4" t="n">
        <v>224</v>
      </c>
      <c r="E79" s="4" t="n">
        <v>550</v>
      </c>
      <c r="F79" s="11">
        <f>IFERROR(B79/(B79+C79),0)</f>
        <v/>
      </c>
      <c r="G79" s="11">
        <f>IFERROR(B79/(B79+D79),0)</f>
        <v/>
      </c>
      <c r="H79" s="11">
        <f>(E79+D79)/(B79+C79+D79+E79)</f>
        <v/>
      </c>
      <c r="I79" s="4">
        <f>C79*Assumptions!$B$5+D79*Assumptions!$B$6</f>
        <v/>
      </c>
      <c r="J79" s="12">
        <f>I79/(B79+C79+D79+E79)</f>
        <v/>
      </c>
      <c r="K79" s="12">
        <f>IFERROR(2*B79/(2*B79+C79*Assumptions!$B$5+D79*Assumptions!$B$6),0)</f>
        <v/>
      </c>
    </row>
    <row r="80">
      <c r="A80" s="10" t="n">
        <v>0.83</v>
      </c>
      <c r="B80" s="4" t="n">
        <v>15</v>
      </c>
      <c r="C80" s="4" t="n">
        <v>9</v>
      </c>
      <c r="D80" s="4" t="n">
        <v>225</v>
      </c>
      <c r="E80" s="4" t="n">
        <v>551</v>
      </c>
      <c r="F80" s="11">
        <f>IFERROR(B80/(B80+C80),0)</f>
        <v/>
      </c>
      <c r="G80" s="11">
        <f>IFERROR(B80/(B80+D80),0)</f>
        <v/>
      </c>
      <c r="H80" s="11">
        <f>(E80+D80)/(B80+C80+D80+E80)</f>
        <v/>
      </c>
      <c r="I80" s="4">
        <f>C80*Assumptions!$B$5+D80*Assumptions!$B$6</f>
        <v/>
      </c>
      <c r="J80" s="12">
        <f>I80/(B80+C80+D80+E80)</f>
        <v/>
      </c>
      <c r="K80" s="12">
        <f>IFERROR(2*B80/(2*B80+C80*Assumptions!$B$5+D80*Assumptions!$B$6),0)</f>
        <v/>
      </c>
    </row>
    <row r="81">
      <c r="A81" s="10" t="n">
        <v>0.84</v>
      </c>
      <c r="B81" s="4" t="n">
        <v>15</v>
      </c>
      <c r="C81" s="4" t="n">
        <v>6</v>
      </c>
      <c r="D81" s="4" t="n">
        <v>225</v>
      </c>
      <c r="E81" s="4" t="n">
        <v>554</v>
      </c>
      <c r="F81" s="11">
        <f>IFERROR(B81/(B81+C81),0)</f>
        <v/>
      </c>
      <c r="G81" s="11">
        <f>IFERROR(B81/(B81+D81),0)</f>
        <v/>
      </c>
      <c r="H81" s="11">
        <f>(E81+D81)/(B81+C81+D81+E81)</f>
        <v/>
      </c>
      <c r="I81" s="4">
        <f>C81*Assumptions!$B$5+D81*Assumptions!$B$6</f>
        <v/>
      </c>
      <c r="J81" s="12">
        <f>I81/(B81+C81+D81+E81)</f>
        <v/>
      </c>
      <c r="K81" s="12">
        <f>IFERROR(2*B81/(2*B81+C81*Assumptions!$B$5+D81*Assumptions!$B$6),0)</f>
        <v/>
      </c>
    </row>
    <row r="82">
      <c r="A82" s="10" t="n">
        <v>0.85</v>
      </c>
      <c r="B82" s="4" t="n">
        <v>12</v>
      </c>
      <c r="C82" s="4" t="n">
        <v>5</v>
      </c>
      <c r="D82" s="4" t="n">
        <v>228</v>
      </c>
      <c r="E82" s="4" t="n">
        <v>555</v>
      </c>
      <c r="F82" s="11">
        <f>IFERROR(B82/(B82+C82),0)</f>
        <v/>
      </c>
      <c r="G82" s="11">
        <f>IFERROR(B82/(B82+D82),0)</f>
        <v/>
      </c>
      <c r="H82" s="11">
        <f>(E82+D82)/(B82+C82+D82+E82)</f>
        <v/>
      </c>
      <c r="I82" s="4">
        <f>C82*Assumptions!$B$5+D82*Assumptions!$B$6</f>
        <v/>
      </c>
      <c r="J82" s="12">
        <f>I82/(B82+C82+D82+E82)</f>
        <v/>
      </c>
      <c r="K82" s="12">
        <f>IFERROR(2*B82/(2*B82+C82*Assumptions!$B$5+D82*Assumptions!$B$6),0)</f>
        <v/>
      </c>
    </row>
    <row r="83">
      <c r="A83" s="10" t="n">
        <v>0.86</v>
      </c>
      <c r="B83" s="4" t="n">
        <v>10</v>
      </c>
      <c r="C83" s="4" t="n">
        <v>5</v>
      </c>
      <c r="D83" s="4" t="n">
        <v>230</v>
      </c>
      <c r="E83" s="4" t="n">
        <v>555</v>
      </c>
      <c r="F83" s="11">
        <f>IFERROR(B83/(B83+C83),0)</f>
        <v/>
      </c>
      <c r="G83" s="11">
        <f>IFERROR(B83/(B83+D83),0)</f>
        <v/>
      </c>
      <c r="H83" s="11">
        <f>(E83+D83)/(B83+C83+D83+E83)</f>
        <v/>
      </c>
      <c r="I83" s="4">
        <f>C83*Assumptions!$B$5+D83*Assumptions!$B$6</f>
        <v/>
      </c>
      <c r="J83" s="12">
        <f>I83/(B83+C83+D83+E83)</f>
        <v/>
      </c>
      <c r="K83" s="12">
        <f>IFERROR(2*B83/(2*B83+C83*Assumptions!$B$5+D83*Assumptions!$B$6),0)</f>
        <v/>
      </c>
    </row>
    <row r="84">
      <c r="A84" s="10" t="n">
        <v>0.87</v>
      </c>
      <c r="B84" s="4" t="n">
        <v>10</v>
      </c>
      <c r="C84" s="4" t="n">
        <v>5</v>
      </c>
      <c r="D84" s="4" t="n">
        <v>230</v>
      </c>
      <c r="E84" s="4" t="n">
        <v>555</v>
      </c>
      <c r="F84" s="11">
        <f>IFERROR(B84/(B84+C84),0)</f>
        <v/>
      </c>
      <c r="G84" s="11">
        <f>IFERROR(B84/(B84+D84),0)</f>
        <v/>
      </c>
      <c r="H84" s="11">
        <f>(E84+D84)/(B84+C84+D84+E84)</f>
        <v/>
      </c>
      <c r="I84" s="4">
        <f>C84*Assumptions!$B$5+D84*Assumptions!$B$6</f>
        <v/>
      </c>
      <c r="J84" s="12">
        <f>I84/(B84+C84+D84+E84)</f>
        <v/>
      </c>
      <c r="K84" s="12">
        <f>IFERROR(2*B84/(2*B84+C84*Assumptions!$B$5+D84*Assumptions!$B$6),0)</f>
        <v/>
      </c>
    </row>
    <row r="85">
      <c r="A85" s="10" t="n">
        <v>0.88</v>
      </c>
      <c r="B85" s="4" t="n">
        <v>9</v>
      </c>
      <c r="C85" s="4" t="n">
        <v>5</v>
      </c>
      <c r="D85" s="4" t="n">
        <v>231</v>
      </c>
      <c r="E85" s="4" t="n">
        <v>555</v>
      </c>
      <c r="F85" s="11">
        <f>IFERROR(B85/(B85+C85),0)</f>
        <v/>
      </c>
      <c r="G85" s="11">
        <f>IFERROR(B85/(B85+D85),0)</f>
        <v/>
      </c>
      <c r="H85" s="11">
        <f>(E85+D85)/(B85+C85+D85+E85)</f>
        <v/>
      </c>
      <c r="I85" s="4">
        <f>C85*Assumptions!$B$5+D85*Assumptions!$B$6</f>
        <v/>
      </c>
      <c r="J85" s="12">
        <f>I85/(B85+C85+D85+E85)</f>
        <v/>
      </c>
      <c r="K85" s="12">
        <f>IFERROR(2*B85/(2*B85+C85*Assumptions!$B$5+D85*Assumptions!$B$6),0)</f>
        <v/>
      </c>
    </row>
    <row r="86">
      <c r="A86" s="10" t="n">
        <v>0.89</v>
      </c>
      <c r="B86" s="4" t="n">
        <v>8</v>
      </c>
      <c r="C86" s="4" t="n">
        <v>4</v>
      </c>
      <c r="D86" s="4" t="n">
        <v>232</v>
      </c>
      <c r="E86" s="4" t="n">
        <v>556</v>
      </c>
      <c r="F86" s="11">
        <f>IFERROR(B86/(B86+C86),0)</f>
        <v/>
      </c>
      <c r="G86" s="11">
        <f>IFERROR(B86/(B86+D86),0)</f>
        <v/>
      </c>
      <c r="H86" s="11">
        <f>(E86+D86)/(B86+C86+D86+E86)</f>
        <v/>
      </c>
      <c r="I86" s="4">
        <f>C86*Assumptions!$B$5+D86*Assumptions!$B$6</f>
        <v/>
      </c>
      <c r="J86" s="12">
        <f>I86/(B86+C86+D86+E86)</f>
        <v/>
      </c>
      <c r="K86" s="12">
        <f>IFERROR(2*B86/(2*B86+C86*Assumptions!$B$5+D86*Assumptions!$B$6),0)</f>
        <v/>
      </c>
    </row>
    <row r="87">
      <c r="A87" s="10" t="n">
        <v>0.9</v>
      </c>
      <c r="B87" s="4" t="n">
        <v>6</v>
      </c>
      <c r="C87" s="4" t="n">
        <v>4</v>
      </c>
      <c r="D87" s="4" t="n">
        <v>234</v>
      </c>
      <c r="E87" s="4" t="n">
        <v>556</v>
      </c>
      <c r="F87" s="11">
        <f>IFERROR(B87/(B87+C87),0)</f>
        <v/>
      </c>
      <c r="G87" s="11">
        <f>IFERROR(B87/(B87+D87),0)</f>
        <v/>
      </c>
      <c r="H87" s="11">
        <f>(E87+D87)/(B87+C87+D87+E87)</f>
        <v/>
      </c>
      <c r="I87" s="4">
        <f>C87*Assumptions!$B$5+D87*Assumptions!$B$6</f>
        <v/>
      </c>
      <c r="J87" s="12">
        <f>I87/(B87+C87+D87+E87)</f>
        <v/>
      </c>
      <c r="K87" s="12">
        <f>IFERROR(2*B87/(2*B87+C87*Assumptions!$B$5+D87*Assumptions!$B$6),0)</f>
        <v/>
      </c>
    </row>
    <row r="88">
      <c r="A88" s="10" t="n">
        <v>0.91</v>
      </c>
      <c r="B88" s="4" t="n">
        <v>5</v>
      </c>
      <c r="C88" s="4" t="n">
        <v>4</v>
      </c>
      <c r="D88" s="4" t="n">
        <v>235</v>
      </c>
      <c r="E88" s="4" t="n">
        <v>556</v>
      </c>
      <c r="F88" s="11">
        <f>IFERROR(B88/(B88+C88),0)</f>
        <v/>
      </c>
      <c r="G88" s="11">
        <f>IFERROR(B88/(B88+D88),0)</f>
        <v/>
      </c>
      <c r="H88" s="11">
        <f>(E88+D88)/(B88+C88+D88+E88)</f>
        <v/>
      </c>
      <c r="I88" s="4">
        <f>C88*Assumptions!$B$5+D88*Assumptions!$B$6</f>
        <v/>
      </c>
      <c r="J88" s="12">
        <f>I88/(B88+C88+D88+E88)</f>
        <v/>
      </c>
      <c r="K88" s="12">
        <f>IFERROR(2*B88/(2*B88+C88*Assumptions!$B$5+D88*Assumptions!$B$6),0)</f>
        <v/>
      </c>
    </row>
    <row r="89">
      <c r="A89" s="10" t="n">
        <v>0.92</v>
      </c>
      <c r="B89" s="4" t="n">
        <v>2</v>
      </c>
      <c r="C89" s="4" t="n">
        <v>4</v>
      </c>
      <c r="D89" s="4" t="n">
        <v>238</v>
      </c>
      <c r="E89" s="4" t="n">
        <v>556</v>
      </c>
      <c r="F89" s="11">
        <f>IFERROR(B89/(B89+C89),0)</f>
        <v/>
      </c>
      <c r="G89" s="11">
        <f>IFERROR(B89/(B89+D89),0)</f>
        <v/>
      </c>
      <c r="H89" s="11">
        <f>(E89+D89)/(B89+C89+D89+E89)</f>
        <v/>
      </c>
      <c r="I89" s="4">
        <f>C89*Assumptions!$B$5+D89*Assumptions!$B$6</f>
        <v/>
      </c>
      <c r="J89" s="12">
        <f>I89/(B89+C89+D89+E89)</f>
        <v/>
      </c>
      <c r="K89" s="12">
        <f>IFERROR(2*B89/(2*B89+C89*Assumptions!$B$5+D89*Assumptions!$B$6),0)</f>
        <v/>
      </c>
    </row>
    <row r="90">
      <c r="A90" s="10" t="n">
        <v>0.93</v>
      </c>
      <c r="B90" s="4" t="n">
        <v>1</v>
      </c>
      <c r="C90" s="4" t="n">
        <v>3</v>
      </c>
      <c r="D90" s="4" t="n">
        <v>239</v>
      </c>
      <c r="E90" s="4" t="n">
        <v>557</v>
      </c>
      <c r="F90" s="11">
        <f>IFERROR(B90/(B90+C90),0)</f>
        <v/>
      </c>
      <c r="G90" s="11">
        <f>IFERROR(B90/(B90+D90),0)</f>
        <v/>
      </c>
      <c r="H90" s="11">
        <f>(E90+D90)/(B90+C90+D90+E90)</f>
        <v/>
      </c>
      <c r="I90" s="4">
        <f>C90*Assumptions!$B$5+D90*Assumptions!$B$6</f>
        <v/>
      </c>
      <c r="J90" s="12">
        <f>I90/(B90+C90+D90+E90)</f>
        <v/>
      </c>
      <c r="K90" s="12">
        <f>IFERROR(2*B90/(2*B90+C90*Assumptions!$B$5+D90*Assumptions!$B$6),0)</f>
        <v/>
      </c>
    </row>
    <row r="91">
      <c r="A91" s="10" t="n">
        <v>0.9399999999999999</v>
      </c>
      <c r="B91" s="4" t="n">
        <v>0</v>
      </c>
      <c r="C91" s="4" t="n">
        <v>1</v>
      </c>
      <c r="D91" s="4" t="n">
        <v>240</v>
      </c>
      <c r="E91" s="4" t="n">
        <v>559</v>
      </c>
      <c r="F91" s="11">
        <f>IFERROR(B91/(B91+C91),0)</f>
        <v/>
      </c>
      <c r="G91" s="11">
        <f>IFERROR(B91/(B91+D91),0)</f>
        <v/>
      </c>
      <c r="H91" s="11">
        <f>(E91+D91)/(B91+C91+D91+E91)</f>
        <v/>
      </c>
      <c r="I91" s="4">
        <f>C91*Assumptions!$B$5+D91*Assumptions!$B$6</f>
        <v/>
      </c>
      <c r="J91" s="12">
        <f>I91/(B91+C91+D91+E91)</f>
        <v/>
      </c>
      <c r="K91" s="12">
        <f>IFERROR(2*B91/(2*B91+C91*Assumptions!$B$5+D91*Assumptions!$B$6),0)</f>
        <v/>
      </c>
    </row>
    <row r="92">
      <c r="A92" s="10" t="n">
        <v>0.95</v>
      </c>
      <c r="B92" s="4" t="n">
        <v>0</v>
      </c>
      <c r="C92" s="4" t="n">
        <v>0</v>
      </c>
      <c r="D92" s="4" t="n">
        <v>240</v>
      </c>
      <c r="E92" s="4" t="n">
        <v>560</v>
      </c>
      <c r="F92" s="11">
        <f>IFERROR(B92/(B92+C92),0)</f>
        <v/>
      </c>
      <c r="G92" s="11">
        <f>IFERROR(B92/(B92+D92),0)</f>
        <v/>
      </c>
      <c r="H92" s="11">
        <f>(E92+D92)/(B92+C92+D92+E92)</f>
        <v/>
      </c>
      <c r="I92" s="4">
        <f>C92*Assumptions!$B$5+D92*Assumptions!$B$6</f>
        <v/>
      </c>
      <c r="J92" s="12">
        <f>I92/(B92+C92+D92+E92)</f>
        <v/>
      </c>
      <c r="K92" s="12">
        <f>IFERROR(2*B92/(2*B92+C92*Assumptions!$B$5+D92*Assumptions!$B$6),0)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1" t="inlineStr">
        <is>
          <t>Decision Threshold - Summary</t>
        </is>
      </c>
    </row>
    <row r="2">
      <c r="A2" s="3" t="inlineStr">
        <is>
          <t>Metric</t>
        </is>
      </c>
      <c r="B2" s="3" t="inlineStr">
        <is>
          <t>Value</t>
        </is>
      </c>
    </row>
    <row r="3">
      <c r="A3" s="4" t="inlineStr">
        <is>
          <t>Cost-optimal threshold (from sweep)</t>
        </is>
      </c>
      <c r="B3" s="13">
        <f>INDEX('Threshold Sweep'!A2:A92,MATCH(MIN('Threshold Sweep'!I2:I92),'Threshold Sweep'!I2:I92,0))</f>
        <v/>
      </c>
    </row>
    <row r="4">
      <c r="A4" s="4" t="inlineStr">
        <is>
          <t>Total cost at optimal threshold</t>
        </is>
      </c>
      <c r="B4" s="14">
        <f>MIN('Threshold Sweep'!I2:I92)</f>
        <v/>
      </c>
    </row>
    <row r="5">
      <c r="A5" s="4" t="inlineStr">
        <is>
          <t>Theoretical threshold c_fp/(c_fp+c_fn)</t>
        </is>
      </c>
      <c r="B5" s="8">
        <f>Assumptions!B9</f>
        <v/>
      </c>
    </row>
    <row r="6">
      <c r="A6" s="4" t="inlineStr">
        <is>
          <t>Total cost at default 0.50 threshold</t>
        </is>
      </c>
      <c r="B6" s="14">
        <f>INDEX('Threshold Sweep'!I2:I92,MATCH(0.5,'Threshold Sweep'!A2:A92,0))</f>
        <v/>
      </c>
    </row>
    <row r="7">
      <c r="A7" s="4" t="inlineStr">
        <is>
          <t>Cost saved vs. default 0.50 threshold</t>
        </is>
      </c>
      <c r="B7" s="14">
        <f>B6-B4</f>
        <v/>
      </c>
    </row>
    <row r="8">
      <c r="A8" s="4" t="inlineStr">
        <is>
          <t>Recall (default) at optimal threshold</t>
        </is>
      </c>
      <c r="B8" s="15">
        <f>INDEX('Threshold Sweep'!G2:G92,MATCH(B3,'Threshold Sweep'!A2:A92,0))</f>
        <v/>
      </c>
    </row>
    <row r="9">
      <c r="A9" s="4" t="inlineStr">
        <is>
          <t>Approval rate at optimal threshold</t>
        </is>
      </c>
      <c r="B9" s="15">
        <f>INDEX('Threshold Sweep'!H2:H92,MATCH(B3,'Threshold Sweep'!A2:A92,0))</f>
        <v/>
      </c>
    </row>
    <row r="10">
      <c r="A10" s="4" t="inlineStr">
        <is>
          <t>Cost-weighted F1 at optimal threshold</t>
        </is>
      </c>
      <c r="B10" s="8">
        <f>INDEX('Threshold Sweep'!K2:K92,MATCH(B3,'Threshold Sweep'!A2:A92,0))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2026-09-25T02:57:24Z</dcterms:created>
  <dcterms:modified xmlns:dcterms="http://purl.org/dc/terms/" xmlns:xsi="http://www.w3.org/2001/XMLSchema-instance" xsi:type="dcterms:W3CDTF">2026-09-25T02:57:24Z</dcterms:modified>
</cp:coreProperties>
</file>